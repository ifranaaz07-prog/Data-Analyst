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ifrah\"/>
    </mc:Choice>
  </mc:AlternateContent>
  <xr:revisionPtr revIDLastSave="0" documentId="13_ncr:1_{6B554490-4A3F-4FA7-B8AC-C66B9A92F357}" xr6:coauthVersionLast="36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tudents" sheetId="1" r:id="rId1"/>
    <sheet name="Stock" sheetId="4" r:id="rId2"/>
    <sheet name="Employees" sheetId="2" r:id="rId3"/>
    <sheet name="Sales" sheetId="3" r:id="rId4"/>
  </sheets>
  <calcPr calcId="191029"/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2" i="2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2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2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2" i="1"/>
</calcChain>
</file>

<file path=xl/sharedStrings.xml><?xml version="1.0" encoding="utf-8"?>
<sst xmlns="http://schemas.openxmlformats.org/spreadsheetml/2006/main" count="814" uniqueCount="324">
  <si>
    <t>RollNo</t>
  </si>
  <si>
    <t>Name</t>
  </si>
  <si>
    <t>Gender</t>
  </si>
  <si>
    <t>Class</t>
  </si>
  <si>
    <t>Marks1</t>
  </si>
  <si>
    <t>Marks2</t>
  </si>
  <si>
    <t>Marks3</t>
  </si>
  <si>
    <t>Total</t>
  </si>
  <si>
    <t>Result</t>
  </si>
  <si>
    <t>Grade</t>
  </si>
  <si>
    <t>Mohit Khan</t>
  </si>
  <si>
    <t>F</t>
  </si>
  <si>
    <t>11A</t>
  </si>
  <si>
    <t>Kavita Verma</t>
  </si>
  <si>
    <t>10A</t>
  </si>
  <si>
    <t>Vikram Das</t>
  </si>
  <si>
    <t>M</t>
  </si>
  <si>
    <t>Neha Singh</t>
  </si>
  <si>
    <t>Aditi Verma</t>
  </si>
  <si>
    <t>Karan Chopra</t>
  </si>
  <si>
    <t>Karan Khan</t>
  </si>
  <si>
    <t>Ayesha Patel</t>
  </si>
  <si>
    <t>Pooja Gupta</t>
  </si>
  <si>
    <t>Pooja Chopra</t>
  </si>
  <si>
    <t>Karan Singh</t>
  </si>
  <si>
    <t>Mohit Chopra</t>
  </si>
  <si>
    <t>10B</t>
  </si>
  <si>
    <t>Aditi Das</t>
  </si>
  <si>
    <t>Karan Sharma</t>
  </si>
  <si>
    <t>Aarav Patel</t>
  </si>
  <si>
    <t>Rahul Iyer</t>
  </si>
  <si>
    <t>Rohan Patel</t>
  </si>
  <si>
    <t>Aarav Iyer</t>
  </si>
  <si>
    <t>Farhan Chopra</t>
  </si>
  <si>
    <t>Neha Iyer</t>
  </si>
  <si>
    <t>Rohan Das</t>
  </si>
  <si>
    <t>Imran Mehta</t>
  </si>
  <si>
    <t>Aman Singh</t>
  </si>
  <si>
    <t>Aman Sharma</t>
  </si>
  <si>
    <t>Deepak Chopra</t>
  </si>
  <si>
    <t>Rohan Iyer</t>
  </si>
  <si>
    <t>Farhan Singh</t>
  </si>
  <si>
    <t>Ayesha Singh</t>
  </si>
  <si>
    <t>Karan Patel</t>
  </si>
  <si>
    <t>Aarav Singh</t>
  </si>
  <si>
    <t>Nisha Verma</t>
  </si>
  <si>
    <t>Aditi Chopra</t>
  </si>
  <si>
    <t>Sana Patel</t>
  </si>
  <si>
    <t>Priya Patel</t>
  </si>
  <si>
    <t>Sana Mehta</t>
  </si>
  <si>
    <t>Mohit Das</t>
  </si>
  <si>
    <t>Aditi Patel</t>
  </si>
  <si>
    <t>Rahul Patel</t>
  </si>
  <si>
    <t>Ayesha Chopra</t>
  </si>
  <si>
    <t>Pooja Mehta</t>
  </si>
  <si>
    <t>Anjali Singh</t>
  </si>
  <si>
    <t>Neha Das</t>
  </si>
  <si>
    <t>Ayesha Sharma</t>
  </si>
  <si>
    <t>Kavita Singh</t>
  </si>
  <si>
    <t>Deepak Mehta</t>
  </si>
  <si>
    <t>Deepak Singh</t>
  </si>
  <si>
    <t>Priya Singh</t>
  </si>
  <si>
    <t>Neha Patel</t>
  </si>
  <si>
    <t>Vikram Singh</t>
  </si>
  <si>
    <t>Sana Chopra</t>
  </si>
  <si>
    <t>Imran Das</t>
  </si>
  <si>
    <t>EmpID</t>
  </si>
  <si>
    <t>Dept</t>
  </si>
  <si>
    <t>Salary</t>
  </si>
  <si>
    <t>Experience</t>
  </si>
  <si>
    <t>Rating</t>
  </si>
  <si>
    <t>Bonus</t>
  </si>
  <si>
    <t>Status</t>
  </si>
  <si>
    <t>E1</t>
  </si>
  <si>
    <t>Ops</t>
  </si>
  <si>
    <t>E2</t>
  </si>
  <si>
    <t>E3</t>
  </si>
  <si>
    <t>Nisha Patel</t>
  </si>
  <si>
    <t>HR</t>
  </si>
  <si>
    <t>E4</t>
  </si>
  <si>
    <t>Priya Gupta</t>
  </si>
  <si>
    <t>Sales</t>
  </si>
  <si>
    <t>E5</t>
  </si>
  <si>
    <t>Farhan Gupta</t>
  </si>
  <si>
    <t>E6</t>
  </si>
  <si>
    <t>E7</t>
  </si>
  <si>
    <t>Mohit Sharma</t>
  </si>
  <si>
    <t>E8</t>
  </si>
  <si>
    <t>Kavita Sharma</t>
  </si>
  <si>
    <t>E9</t>
  </si>
  <si>
    <t>E10</t>
  </si>
  <si>
    <t>Mohit Mehta</t>
  </si>
  <si>
    <t>E11</t>
  </si>
  <si>
    <t>Neha Verma</t>
  </si>
  <si>
    <t>E12</t>
  </si>
  <si>
    <t>Rohan Khan</t>
  </si>
  <si>
    <t>E13</t>
  </si>
  <si>
    <t>Ritu Das</t>
  </si>
  <si>
    <t>E14</t>
  </si>
  <si>
    <t>Rohan Chopra</t>
  </si>
  <si>
    <t>IT</t>
  </si>
  <si>
    <t>E15</t>
  </si>
  <si>
    <t>Rahul Chopra</t>
  </si>
  <si>
    <t>E16</t>
  </si>
  <si>
    <t>Vikram Gupta</t>
  </si>
  <si>
    <t>E17</t>
  </si>
  <si>
    <t>Vikram Sharma</t>
  </si>
  <si>
    <t>E18</t>
  </si>
  <si>
    <t>E19</t>
  </si>
  <si>
    <t>Rahul Das</t>
  </si>
  <si>
    <t>E20</t>
  </si>
  <si>
    <t>Aman Verma</t>
  </si>
  <si>
    <t>E21</t>
  </si>
  <si>
    <t>Imran Singh</t>
  </si>
  <si>
    <t>E22</t>
  </si>
  <si>
    <t>Kavita Chopra</t>
  </si>
  <si>
    <t>E23</t>
  </si>
  <si>
    <t>Aman Iyer</t>
  </si>
  <si>
    <t>E24</t>
  </si>
  <si>
    <t>Deepak Khan</t>
  </si>
  <si>
    <t>E25</t>
  </si>
  <si>
    <t>Aditi Gupta</t>
  </si>
  <si>
    <t>E26</t>
  </si>
  <si>
    <t>E27</t>
  </si>
  <si>
    <t>Nisha Iyer</t>
  </si>
  <si>
    <t>E28</t>
  </si>
  <si>
    <t>Anjali Sharma</t>
  </si>
  <si>
    <t>E29</t>
  </si>
  <si>
    <t>Rohan Gupta</t>
  </si>
  <si>
    <t>E30</t>
  </si>
  <si>
    <t>Imran Sharma</t>
  </si>
  <si>
    <t>E31</t>
  </si>
  <si>
    <t>E32</t>
  </si>
  <si>
    <t>E33</t>
  </si>
  <si>
    <t>Ritu Patel</t>
  </si>
  <si>
    <t>E34</t>
  </si>
  <si>
    <t>E35</t>
  </si>
  <si>
    <t>E36</t>
  </si>
  <si>
    <t>E37</t>
  </si>
  <si>
    <t>Kavita Khan</t>
  </si>
  <si>
    <t>E38</t>
  </si>
  <si>
    <t>Aman Chopra</t>
  </si>
  <si>
    <t>E39</t>
  </si>
  <si>
    <t>Rohan Verma</t>
  </si>
  <si>
    <t>E40</t>
  </si>
  <si>
    <t>Rohan Sharma</t>
  </si>
  <si>
    <t>E41</t>
  </si>
  <si>
    <t>Aditi Sharma</t>
  </si>
  <si>
    <t>E42</t>
  </si>
  <si>
    <t>Sana Iyer</t>
  </si>
  <si>
    <t>E43</t>
  </si>
  <si>
    <t>Aarav Gupta</t>
  </si>
  <si>
    <t>E44</t>
  </si>
  <si>
    <t>Rahul Sharma</t>
  </si>
  <si>
    <t>E45</t>
  </si>
  <si>
    <t>Deepak Sharma</t>
  </si>
  <si>
    <t>E46</t>
  </si>
  <si>
    <t>Anjali Gupta</t>
  </si>
  <si>
    <t>E47</t>
  </si>
  <si>
    <t>E48</t>
  </si>
  <si>
    <t>Mohit Patel</t>
  </si>
  <si>
    <t>E49</t>
  </si>
  <si>
    <t>E50</t>
  </si>
  <si>
    <t>Deepak Verma</t>
  </si>
  <si>
    <t>E51</t>
  </si>
  <si>
    <t>Sana Singh</t>
  </si>
  <si>
    <t>E52</t>
  </si>
  <si>
    <t>E53</t>
  </si>
  <si>
    <t>Rohan Singh</t>
  </si>
  <si>
    <t>E54</t>
  </si>
  <si>
    <t>Karan Verma</t>
  </si>
  <si>
    <t>E55</t>
  </si>
  <si>
    <t>Vikram Patel</t>
  </si>
  <si>
    <t>E56</t>
  </si>
  <si>
    <t>Aditi Khan</t>
  </si>
  <si>
    <t>E57</t>
  </si>
  <si>
    <t>E58</t>
  </si>
  <si>
    <t>Sana Sharma</t>
  </si>
  <si>
    <t>E59</t>
  </si>
  <si>
    <t>E60</t>
  </si>
  <si>
    <t>Mohit Iyer</t>
  </si>
  <si>
    <t>Invoice</t>
  </si>
  <si>
    <t>Salesman</t>
  </si>
  <si>
    <t>Region</t>
  </si>
  <si>
    <t>Month</t>
  </si>
  <si>
    <t>Units</t>
  </si>
  <si>
    <t>UnitPrice</t>
  </si>
  <si>
    <t>Revenue</t>
  </si>
  <si>
    <t>South</t>
  </si>
  <si>
    <t>May</t>
  </si>
  <si>
    <t>East</t>
  </si>
  <si>
    <t>Mar</t>
  </si>
  <si>
    <t>Kavita Patel</t>
  </si>
  <si>
    <t>Jun</t>
  </si>
  <si>
    <t>North</t>
  </si>
  <si>
    <t>Feb</t>
  </si>
  <si>
    <t>Aarav Khan</t>
  </si>
  <si>
    <t>Kavita Das</t>
  </si>
  <si>
    <t>Apr</t>
  </si>
  <si>
    <t>Priya Sharma</t>
  </si>
  <si>
    <t>Karan Das</t>
  </si>
  <si>
    <t>Jan</t>
  </si>
  <si>
    <t>Ritu Mehta</t>
  </si>
  <si>
    <t>West</t>
  </si>
  <si>
    <t>Sana Gupta</t>
  </si>
  <si>
    <t>Neha Chopra</t>
  </si>
  <si>
    <t>Aarav Sharma</t>
  </si>
  <si>
    <t>Anjali Verma</t>
  </si>
  <si>
    <t>Sana Das</t>
  </si>
  <si>
    <t>Nisha Sharma</t>
  </si>
  <si>
    <t>Nisha Chopra</t>
  </si>
  <si>
    <t>Nisha Mehta</t>
  </si>
  <si>
    <t>Pooja Das</t>
  </si>
  <si>
    <t>Imran Verma</t>
  </si>
  <si>
    <t>Kavita Mehta</t>
  </si>
  <si>
    <t>Deepak Iyer</t>
  </si>
  <si>
    <t>Imran Chopra</t>
  </si>
  <si>
    <t>Sana Khan</t>
  </si>
  <si>
    <t>Aditi Mehta</t>
  </si>
  <si>
    <t>Neha Sharma</t>
  </si>
  <si>
    <t>Neha Mehta</t>
  </si>
  <si>
    <t>Priya Mehta</t>
  </si>
  <si>
    <t>Deepak Gupta</t>
  </si>
  <si>
    <t>Neha Gupta</t>
  </si>
  <si>
    <t>Ayesha Khan</t>
  </si>
  <si>
    <t>Pooja Khan</t>
  </si>
  <si>
    <t>Vikram Chopra</t>
  </si>
  <si>
    <t>Farhan Iyer</t>
  </si>
  <si>
    <t>Aarav Das</t>
  </si>
  <si>
    <t>SKU</t>
  </si>
  <si>
    <t>Product</t>
  </si>
  <si>
    <t>Category</t>
  </si>
  <si>
    <t>Supplier</t>
  </si>
  <si>
    <t>Quantity</t>
  </si>
  <si>
    <t>S1</t>
  </si>
  <si>
    <t>Power Bank</t>
  </si>
  <si>
    <t>Stationery</t>
  </si>
  <si>
    <t>ABC Traders</t>
  </si>
  <si>
    <t>S2</t>
  </si>
  <si>
    <t>USB Drive</t>
  </si>
  <si>
    <t>Electronics</t>
  </si>
  <si>
    <t>S3</t>
  </si>
  <si>
    <t>Monitor</t>
  </si>
  <si>
    <t>Accessories</t>
  </si>
  <si>
    <t>Prime Distributors</t>
  </si>
  <si>
    <t>S4</t>
  </si>
  <si>
    <t>Laptop</t>
  </si>
  <si>
    <t>S5</t>
  </si>
  <si>
    <t>Backpack</t>
  </si>
  <si>
    <t>S6</t>
  </si>
  <si>
    <t>Webcam</t>
  </si>
  <si>
    <t>S7</t>
  </si>
  <si>
    <t>XYZ Supplies</t>
  </si>
  <si>
    <t>S8</t>
  </si>
  <si>
    <t>Keyboard</t>
  </si>
  <si>
    <t>S9</t>
  </si>
  <si>
    <t>Hard Disk</t>
  </si>
  <si>
    <t>S10</t>
  </si>
  <si>
    <t>S11</t>
  </si>
  <si>
    <t>S12</t>
  </si>
  <si>
    <t>S13</t>
  </si>
  <si>
    <t>Wireless Mouse</t>
  </si>
  <si>
    <t>LMN Corp</t>
  </si>
  <si>
    <t>S14</t>
  </si>
  <si>
    <t>S15</t>
  </si>
  <si>
    <t>Water Bottle</t>
  </si>
  <si>
    <t>S16</t>
  </si>
  <si>
    <t>Headphones</t>
  </si>
  <si>
    <t>S17</t>
  </si>
  <si>
    <t>Office Chair</t>
  </si>
  <si>
    <t>S18</t>
  </si>
  <si>
    <t>S19</t>
  </si>
  <si>
    <t>S20</t>
  </si>
  <si>
    <t>Printer</t>
  </si>
  <si>
    <t>Office</t>
  </si>
  <si>
    <t>S21</t>
  </si>
  <si>
    <t>S22</t>
  </si>
  <si>
    <t>S23</t>
  </si>
  <si>
    <t>S24</t>
  </si>
  <si>
    <t>S25</t>
  </si>
  <si>
    <t>Calculator</t>
  </si>
  <si>
    <t>S26</t>
  </si>
  <si>
    <t>S27</t>
  </si>
  <si>
    <t>S28</t>
  </si>
  <si>
    <t>S29</t>
  </si>
  <si>
    <t>S30</t>
  </si>
  <si>
    <t>S31</t>
  </si>
  <si>
    <t>Desk Lamp</t>
  </si>
  <si>
    <t>S32</t>
  </si>
  <si>
    <t>S33</t>
  </si>
  <si>
    <t>Charger</t>
  </si>
  <si>
    <t>S34</t>
  </si>
  <si>
    <t>S35</t>
  </si>
  <si>
    <t>Notebook</t>
  </si>
  <si>
    <t>S36</t>
  </si>
  <si>
    <t>S37</t>
  </si>
  <si>
    <t>Smartphone</t>
  </si>
  <si>
    <t>S38</t>
  </si>
  <si>
    <t>S39</t>
  </si>
  <si>
    <t>S40</t>
  </si>
  <si>
    <t>S41</t>
  </si>
  <si>
    <t>S42</t>
  </si>
  <si>
    <t>S43</t>
  </si>
  <si>
    <t>S44</t>
  </si>
  <si>
    <t>S45</t>
  </si>
  <si>
    <t>Router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</si>
  <si>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</si>
  <si>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</si>
  <si>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</si>
  <si>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</si>
  <si>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</si>
  <si>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</si>
  <si>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</si>
  <si>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</si>
  <si>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</si>
  <si>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</si>
  <si>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</si>
  <si>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</si>
  <si>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</si>
  <si>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</si>
  <si>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</si>
  <si>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Discount</t>
  </si>
  <si>
    <t>Order Qty</t>
  </si>
  <si>
    <t>Discount with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</si>
</sst>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1" fontId="0" fillId="0" borderId="6" xfId="0" applyNumberFormat="1" applyBorder="1" applyAlignment="1">
      <alignment horizontal="center" vertical="center"/>
    </xf>
    <xf numFmtId="9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50"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93B7D1-B605-4E7F-9283-6DF17AA95F85}" name="Table1" displayName="Table1" ref="A1:J61" totalsRowShown="0" headerRowDxfId="2" dataDxfId="49">
  <tableColumns count="10">
    <tableColumn id="1" xr3:uid="{EDB29417-F5CF-4623-A96C-668FFE21CC5C}" name="RollNo" dataDxfId="48"/>
    <tableColumn id="2" xr3:uid="{54BA50FE-24CC-4ED7-92F0-DC7A7CB543C0}" name="Name" dataDxfId="47"/>
    <tableColumn id="3" xr3:uid="{8C6DF1DD-C750-48A4-B41E-DCABEAD1C82F}" name="Gender" dataDxfId="46"/>
    <tableColumn id="4" xr3:uid="{F9363144-C961-4701-BC19-F233CD2168A1}" name="Class" dataDxfId="45"/>
    <tableColumn id="5" xr3:uid="{164D3765-23EA-4CB5-B85A-269125797456}" name="Marks1" dataDxfId="44"/>
    <tableColumn id="6" xr3:uid="{B73C6D70-EC8F-4042-999D-9627A0AE2065}" name="Marks2" dataDxfId="43"/>
    <tableColumn id="7" xr3:uid="{0F5FB85C-56C0-4AFB-933F-C4E7A0799FCB}" name="Marks3" dataDxfId="42"/>
    <tableColumn id="8" xr3:uid="{1419A308-D9E2-40DB-8413-3B6371993D52}" name="Total" dataDxfId="41">
      <calculatedColumnFormula>SUM(E2:G2)</calculatedColumnFormula>
    </tableColumn>
    <tableColumn id="9" xr3:uid="{58EB3398-F146-462C-A09D-1245A2307149}" name="Result" dataDxfId="40">
      <calculatedColumnFormula>IF(OR(E2&lt;35, F2&lt;35, G2&lt;35),"Fail","Pass")</calculatedColumnFormula>
    </tableColumn>
    <tableColumn id="10" xr3:uid="{DDA6BFC6-D230-4542-9875-8BF789428312}" name="Grade" dataDxfId="39">
      <calculatedColumnFormula>IF(H2/3&gt;75, "A",IF(H2/3&gt;65, "B", IF(H2/3&gt;50, "C", "D")))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A257C3-C1AA-41F6-9C48-768F3A774E82}" name="Table2" displayName="Table2" ref="A1:G61" totalsRowShown="0" headerRowDxfId="1" dataDxfId="36">
  <tableColumns count="7">
    <tableColumn id="1" xr3:uid="{30346F1E-B700-4AB8-841F-36230A06B5CD}" name="SKU" dataDxfId="0"/>
    <tableColumn id="2" xr3:uid="{95E1F671-2AFF-491B-AC66-BBCA94F693C7}" name="Product" dataDxfId="35"/>
    <tableColumn id="3" xr3:uid="{C1DBC621-9889-4D97-A831-DEB25FCA5F0D}" name="Category" dataDxfId="34"/>
    <tableColumn id="4" xr3:uid="{07D9CFB2-1E9A-48A4-834F-2B233E943EAB}" name="Supplier" dataDxfId="33"/>
    <tableColumn id="5" xr3:uid="{03A42A6F-7F69-4817-8B66-C2B0E3F4A407}" name="Quantity" dataDxfId="32"/>
    <tableColumn id="6" xr3:uid="{61D92478-D9FB-465F-81AC-42EBD46A3CE3}" name="Order Qty" dataDxfId="31"/>
    <tableColumn id="7" xr3:uid="{FA7917CC-0137-4F3E-95CF-36A1ECF14710}" name="Status" dataDxfId="30">
      <calculatedColumnFormula>IF(E2-F2, E2-F2, F2-E2)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5A72E1-98FC-46FB-A883-E57E2CB7ACA6}" name="Table3" displayName="Table3" ref="A1:H61" totalsRowShown="0" headerRowDxfId="3" dataDxfId="28" headerRowBorderDxfId="29" tableBorderDxfId="27" totalsRowBorderDxfId="26">
  <tableColumns count="8">
    <tableColumn id="1" xr3:uid="{E3E0C0F5-41ED-4882-997F-50670AE029B9}" name="EmpID" dataDxfId="25"/>
    <tableColumn id="2" xr3:uid="{ECC30205-C00D-4612-84F9-F02896B16A51}" name="Name" dataDxfId="24"/>
    <tableColumn id="3" xr3:uid="{2953F787-A71A-41A8-9CCD-911AF82FB101}" name="Dept" dataDxfId="23"/>
    <tableColumn id="4" xr3:uid="{EDA0DE8B-ABE3-42A3-A64A-5AE2F5554483}" name="Salary" dataDxfId="22"/>
    <tableColumn id="5" xr3:uid="{758B1331-F224-450A-B199-096B82E407DB}" name="Experience" dataDxfId="21"/>
    <tableColumn id="6" xr3:uid="{FFDC6343-F335-473C-AFE8-59BEA283F32D}" name="Rating" dataDxfId="20"/>
    <tableColumn id="7" xr3:uid="{E62A3685-3297-43A7-8791-9DCF824791C6}" name="Status" dataDxfId="19">
      <calculatedColumnFormula>IF(AND(E2&gt;=8,F2&gt;=4),"Promote", "Hold on")</calculatedColumnFormula>
    </tableColumn>
    <tableColumn id="8" xr3:uid="{38E2F439-36B9-4EAD-A551-D1E87C2DB0C7}" name="Bonus" dataDxfId="18">
      <calculatedColumnFormula>IF(AND(E2&gt;=10,F2=5), 15%, IF(AND(E2&gt;=8, F2=4), 10%, IF(AND(E2&gt;=6, F2=3), 5%, 2%)))</calculatedColumnFormula>
    </tableColumn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9FFAED-8F61-4276-A3B1-AEAB7215341E}" name="Table4" displayName="Table4" ref="A1:I61" totalsRowShown="0" headerRowDxfId="4" dataDxfId="16" headerRowBorderDxfId="17" tableBorderDxfId="15" totalsRowBorderDxfId="14">
  <tableColumns count="9">
    <tableColumn id="1" xr3:uid="{D626A8F5-3EDF-479F-9F04-069CB49C165E}" name="Invoice" dataDxfId="13"/>
    <tableColumn id="2" xr3:uid="{81733407-5C34-4387-8B14-CA98F25BCFD2}" name="Salesman" dataDxfId="12"/>
    <tableColumn id="3" xr3:uid="{194E9DAA-5F9A-44C2-BB0D-D96D3FB7F918}" name="Region" dataDxfId="11"/>
    <tableColumn id="4" xr3:uid="{17D17D68-049E-4CB5-83B8-37018330C6B4}" name="Month" dataDxfId="10"/>
    <tableColumn id="5" xr3:uid="{7010038E-959B-4469-BFE8-69FE67FF1271}" name="Units" dataDxfId="9"/>
    <tableColumn id="6" xr3:uid="{F14BE004-6C90-4E18-B41A-85995952090E}" name="UnitPrice" dataDxfId="8"/>
    <tableColumn id="7" xr3:uid="{B0CDD236-2B1D-48E8-B8D5-CED320BC2ACE}" name="Revenue" dataDxfId="7">
      <calculatedColumnFormula>E2*F2</calculatedColumnFormula>
    </tableColumn>
    <tableColumn id="8" xr3:uid="{284A81F8-6B7E-4064-BD82-716A24769D54}" name="Discount" dataDxfId="6">
      <calculatedColumnFormula>IF(G2&gt;100000, 20%, IF(G2&gt;75000, 15%, IF(G2&gt;50000, 10%, IF(G2&gt;25000, 5%, 2%))))</calculatedColumnFormula>
    </tableColumn>
    <tableColumn id="9" xr3:uid="{3C8B494F-FFA4-4DA1-9F79-BD470A92E51A}" name="Discount with amount" dataDxfId="5">
      <calculatedColumnFormula>IF(G2&gt;100000,G2-G2*20%,IF(G2&gt;75000,G2-G2*15%,IF(G2&gt;50000,G2-G2*10%,IF(G2&gt;25000,G2-G2*5%,G2-G2*2%))))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workbookViewId="0">
      <selection activeCell="D9" sqref="D9"/>
    </sheetView>
  </sheetViews>
  <sheetFormatPr defaultRowHeight="15" x14ac:dyDescent="0.25"/>
  <cols>
    <col min="1" max="1" width="11.5703125" style="3" bestFit="1" customWidth="1"/>
    <col min="2" max="2" width="14.5703125" bestFit="1" customWidth="1"/>
    <col min="3" max="3" width="12.28515625" style="3" bestFit="1" customWidth="1"/>
    <col min="4" max="4" width="10" style="3" bestFit="1" customWidth="1"/>
    <col min="5" max="7" width="12" style="3" bestFit="1" customWidth="1"/>
    <col min="8" max="8" width="10" style="3" bestFit="1" customWidth="1"/>
    <col min="9" max="9" width="11.140625" style="3" bestFit="1" customWidth="1"/>
    <col min="10" max="10" width="11" style="3" bestFit="1" customWidth="1"/>
  </cols>
  <sheetData>
    <row r="1" spans="1:10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</row>
    <row r="2" spans="1:10" x14ac:dyDescent="0.25">
      <c r="A2" s="4">
        <v>1001</v>
      </c>
      <c r="B2" s="5" t="s">
        <v>10</v>
      </c>
      <c r="C2" s="4" t="s">
        <v>11</v>
      </c>
      <c r="D2" s="4" t="s">
        <v>12</v>
      </c>
      <c r="E2" s="4">
        <v>74</v>
      </c>
      <c r="F2" s="4">
        <v>27</v>
      </c>
      <c r="G2" s="4">
        <v>0</v>
      </c>
      <c r="H2" s="4">
        <f>SUM(E2:G2)</f>
        <v>101</v>
      </c>
      <c r="I2" s="4" t="str">
        <f>IF(OR(E2&lt;35, F2&lt;35, G2&lt;35),"Fail","Pass")</f>
        <v>Fail</v>
      </c>
      <c r="J2" s="4" t="str">
        <f>IF(H2/3&gt;75, "A",IF(H2/3&gt;65, "B", IF(H2/3&gt;50, "C", "D")))</f>
        <v>D</v>
      </c>
    </row>
    <row r="3" spans="1:10" x14ac:dyDescent="0.25">
      <c r="A3" s="4">
        <v>1002</v>
      </c>
      <c r="B3" s="5" t="s">
        <v>13</v>
      </c>
      <c r="C3" s="4" t="s">
        <v>11</v>
      </c>
      <c r="D3" s="4" t="s">
        <v>14</v>
      </c>
      <c r="E3" s="4">
        <v>85</v>
      </c>
      <c r="F3" s="4">
        <v>87</v>
      </c>
      <c r="G3" s="4">
        <v>84</v>
      </c>
      <c r="H3" s="4">
        <f t="shared" ref="H3:H61" si="0">SUM(E3:G3)</f>
        <v>256</v>
      </c>
      <c r="I3" s="4" t="str">
        <f t="shared" ref="I3:I61" si="1">IF(OR(E3&lt;35, F3&lt;35, G3&lt;35),"Fail","Pass")</f>
        <v>Pass</v>
      </c>
      <c r="J3" s="4" t="str">
        <f t="shared" ref="J3:J61" si="2">IF(H3/3&gt;75, "A",IF(H3/3&gt;65, "B", IF(H3/3&gt;50, "C", "D")))</f>
        <v>A</v>
      </c>
    </row>
    <row r="4" spans="1:10" x14ac:dyDescent="0.25">
      <c r="A4" s="4">
        <v>1003</v>
      </c>
      <c r="B4" s="5" t="s">
        <v>15</v>
      </c>
      <c r="C4" s="4" t="s">
        <v>16</v>
      </c>
      <c r="D4" s="4" t="s">
        <v>12</v>
      </c>
      <c r="E4" s="4">
        <v>25</v>
      </c>
      <c r="F4" s="4">
        <v>23</v>
      </c>
      <c r="G4" s="4">
        <v>52</v>
      </c>
      <c r="H4" s="4">
        <f t="shared" si="0"/>
        <v>100</v>
      </c>
      <c r="I4" s="4" t="str">
        <f t="shared" si="1"/>
        <v>Fail</v>
      </c>
      <c r="J4" s="4" t="str">
        <f t="shared" si="2"/>
        <v>D</v>
      </c>
    </row>
    <row r="5" spans="1:10" x14ac:dyDescent="0.25">
      <c r="A5" s="4">
        <v>1004</v>
      </c>
      <c r="B5" s="5" t="s">
        <v>17</v>
      </c>
      <c r="C5" s="4" t="s">
        <v>16</v>
      </c>
      <c r="D5" s="4" t="s">
        <v>14</v>
      </c>
      <c r="E5" s="4">
        <v>14</v>
      </c>
      <c r="F5" s="4">
        <v>78</v>
      </c>
      <c r="G5" s="4">
        <v>53</v>
      </c>
      <c r="H5" s="4">
        <f t="shared" si="0"/>
        <v>145</v>
      </c>
      <c r="I5" s="4" t="str">
        <f t="shared" si="1"/>
        <v>Fail</v>
      </c>
      <c r="J5" s="4" t="str">
        <f t="shared" si="2"/>
        <v>D</v>
      </c>
    </row>
    <row r="6" spans="1:10" x14ac:dyDescent="0.25">
      <c r="A6" s="4">
        <v>1005</v>
      </c>
      <c r="B6" s="5" t="s">
        <v>18</v>
      </c>
      <c r="C6" s="4" t="s">
        <v>16</v>
      </c>
      <c r="D6" s="4" t="s">
        <v>14</v>
      </c>
      <c r="E6" s="4">
        <v>97</v>
      </c>
      <c r="F6" s="4">
        <v>23</v>
      </c>
      <c r="G6" s="4">
        <v>47</v>
      </c>
      <c r="H6" s="4">
        <f t="shared" si="0"/>
        <v>167</v>
      </c>
      <c r="I6" s="4" t="str">
        <f t="shared" si="1"/>
        <v>Fail</v>
      </c>
      <c r="J6" s="4" t="str">
        <f t="shared" si="2"/>
        <v>C</v>
      </c>
    </row>
    <row r="7" spans="1:10" x14ac:dyDescent="0.25">
      <c r="A7" s="4">
        <v>1006</v>
      </c>
      <c r="B7" s="5" t="s">
        <v>19</v>
      </c>
      <c r="C7" s="4" t="s">
        <v>11</v>
      </c>
      <c r="D7" s="4" t="s">
        <v>12</v>
      </c>
      <c r="E7" s="4">
        <v>83</v>
      </c>
      <c r="F7" s="4">
        <v>3</v>
      </c>
      <c r="G7" s="4">
        <v>62</v>
      </c>
      <c r="H7" s="4">
        <f t="shared" si="0"/>
        <v>148</v>
      </c>
      <c r="I7" s="4" t="str">
        <f t="shared" si="1"/>
        <v>Fail</v>
      </c>
      <c r="J7" s="4" t="str">
        <f t="shared" si="2"/>
        <v>D</v>
      </c>
    </row>
    <row r="8" spans="1:10" x14ac:dyDescent="0.25">
      <c r="A8" s="4">
        <v>1007</v>
      </c>
      <c r="B8" s="5" t="s">
        <v>20</v>
      </c>
      <c r="C8" s="4" t="s">
        <v>16</v>
      </c>
      <c r="D8" s="4" t="s">
        <v>12</v>
      </c>
      <c r="E8" s="4">
        <v>45</v>
      </c>
      <c r="F8" s="4">
        <v>64</v>
      </c>
      <c r="G8" s="4">
        <v>33</v>
      </c>
      <c r="H8" s="4">
        <f t="shared" si="0"/>
        <v>142</v>
      </c>
      <c r="I8" s="4" t="str">
        <f t="shared" si="1"/>
        <v>Fail</v>
      </c>
      <c r="J8" s="4" t="str">
        <f t="shared" si="2"/>
        <v>D</v>
      </c>
    </row>
    <row r="9" spans="1:10" x14ac:dyDescent="0.25">
      <c r="A9" s="4">
        <v>1008</v>
      </c>
      <c r="B9" s="5" t="s">
        <v>21</v>
      </c>
      <c r="C9" s="4" t="s">
        <v>16</v>
      </c>
      <c r="D9" s="4" t="s">
        <v>14</v>
      </c>
      <c r="E9" s="4">
        <v>18</v>
      </c>
      <c r="F9" s="4">
        <v>70</v>
      </c>
      <c r="G9" s="4">
        <v>57</v>
      </c>
      <c r="H9" s="4">
        <f t="shared" si="0"/>
        <v>145</v>
      </c>
      <c r="I9" s="4" t="str">
        <f t="shared" si="1"/>
        <v>Fail</v>
      </c>
      <c r="J9" s="4" t="str">
        <f t="shared" si="2"/>
        <v>D</v>
      </c>
    </row>
    <row r="10" spans="1:10" x14ac:dyDescent="0.25">
      <c r="A10" s="4">
        <v>1009</v>
      </c>
      <c r="B10" s="5" t="s">
        <v>22</v>
      </c>
      <c r="C10" s="4" t="s">
        <v>16</v>
      </c>
      <c r="D10" s="4" t="s">
        <v>14</v>
      </c>
      <c r="E10" s="4">
        <v>63</v>
      </c>
      <c r="F10" s="4">
        <v>35</v>
      </c>
      <c r="G10" s="4">
        <v>75</v>
      </c>
      <c r="H10" s="4">
        <f t="shared" si="0"/>
        <v>173</v>
      </c>
      <c r="I10" s="4" t="str">
        <f t="shared" si="1"/>
        <v>Pass</v>
      </c>
      <c r="J10" s="4" t="str">
        <f t="shared" si="2"/>
        <v>C</v>
      </c>
    </row>
    <row r="11" spans="1:10" x14ac:dyDescent="0.25">
      <c r="A11" s="4">
        <v>1010</v>
      </c>
      <c r="B11" s="5" t="s">
        <v>23</v>
      </c>
      <c r="C11" s="4" t="s">
        <v>16</v>
      </c>
      <c r="D11" s="4" t="s">
        <v>12</v>
      </c>
      <c r="E11" s="4">
        <v>60</v>
      </c>
      <c r="F11" s="4">
        <v>61</v>
      </c>
      <c r="G11" s="4">
        <v>26</v>
      </c>
      <c r="H11" s="4">
        <f t="shared" si="0"/>
        <v>147</v>
      </c>
      <c r="I11" s="4" t="str">
        <f t="shared" si="1"/>
        <v>Fail</v>
      </c>
      <c r="J11" s="4" t="str">
        <f t="shared" si="2"/>
        <v>D</v>
      </c>
    </row>
    <row r="12" spans="1:10" x14ac:dyDescent="0.25">
      <c r="A12" s="4">
        <v>1011</v>
      </c>
      <c r="B12" s="5" t="s">
        <v>24</v>
      </c>
      <c r="C12" s="4" t="s">
        <v>11</v>
      </c>
      <c r="D12" s="4" t="s">
        <v>12</v>
      </c>
      <c r="E12" s="4">
        <v>86</v>
      </c>
      <c r="F12" s="4">
        <v>81</v>
      </c>
      <c r="G12" s="4">
        <v>8</v>
      </c>
      <c r="H12" s="4">
        <f t="shared" si="0"/>
        <v>175</v>
      </c>
      <c r="I12" s="4" t="str">
        <f t="shared" si="1"/>
        <v>Fail</v>
      </c>
      <c r="J12" s="4" t="str">
        <f t="shared" si="2"/>
        <v>C</v>
      </c>
    </row>
    <row r="13" spans="1:10" x14ac:dyDescent="0.25">
      <c r="A13" s="4">
        <v>1012</v>
      </c>
      <c r="B13" s="5" t="s">
        <v>25</v>
      </c>
      <c r="C13" s="4" t="s">
        <v>16</v>
      </c>
      <c r="D13" s="4" t="s">
        <v>26</v>
      </c>
      <c r="E13" s="4">
        <v>42</v>
      </c>
      <c r="F13" s="4">
        <v>75</v>
      </c>
      <c r="G13" s="4">
        <v>87</v>
      </c>
      <c r="H13" s="4">
        <f t="shared" si="0"/>
        <v>204</v>
      </c>
      <c r="I13" s="4" t="str">
        <f t="shared" si="1"/>
        <v>Pass</v>
      </c>
      <c r="J13" s="4" t="str">
        <f t="shared" si="2"/>
        <v>B</v>
      </c>
    </row>
    <row r="14" spans="1:10" x14ac:dyDescent="0.25">
      <c r="A14" s="4">
        <v>1013</v>
      </c>
      <c r="B14" s="5" t="s">
        <v>27</v>
      </c>
      <c r="C14" s="4" t="s">
        <v>16</v>
      </c>
      <c r="D14" s="4" t="s">
        <v>12</v>
      </c>
      <c r="E14" s="4">
        <v>58</v>
      </c>
      <c r="F14" s="4">
        <v>45</v>
      </c>
      <c r="G14" s="4">
        <v>79</v>
      </c>
      <c r="H14" s="4">
        <f t="shared" si="0"/>
        <v>182</v>
      </c>
      <c r="I14" s="4" t="str">
        <f t="shared" si="1"/>
        <v>Pass</v>
      </c>
      <c r="J14" s="4" t="str">
        <f t="shared" si="2"/>
        <v>C</v>
      </c>
    </row>
    <row r="15" spans="1:10" x14ac:dyDescent="0.25">
      <c r="A15" s="4">
        <v>1014</v>
      </c>
      <c r="B15" s="5" t="s">
        <v>28</v>
      </c>
      <c r="C15" s="4" t="s">
        <v>16</v>
      </c>
      <c r="D15" s="4" t="s">
        <v>26</v>
      </c>
      <c r="E15" s="4">
        <v>42</v>
      </c>
      <c r="F15" s="4">
        <v>19</v>
      </c>
      <c r="G15" s="4">
        <v>27</v>
      </c>
      <c r="H15" s="4">
        <f t="shared" si="0"/>
        <v>88</v>
      </c>
      <c r="I15" s="4" t="str">
        <f t="shared" si="1"/>
        <v>Fail</v>
      </c>
      <c r="J15" s="4" t="str">
        <f t="shared" si="2"/>
        <v>D</v>
      </c>
    </row>
    <row r="16" spans="1:10" x14ac:dyDescent="0.25">
      <c r="A16" s="4">
        <v>1015</v>
      </c>
      <c r="B16" s="5" t="s">
        <v>29</v>
      </c>
      <c r="C16" s="4" t="s">
        <v>11</v>
      </c>
      <c r="D16" s="4" t="s">
        <v>14</v>
      </c>
      <c r="E16" s="4">
        <v>4</v>
      </c>
      <c r="F16" s="4">
        <v>86</v>
      </c>
      <c r="G16" s="4">
        <v>99</v>
      </c>
      <c r="H16" s="4">
        <f t="shared" si="0"/>
        <v>189</v>
      </c>
      <c r="I16" s="4" t="str">
        <f t="shared" si="1"/>
        <v>Fail</v>
      </c>
      <c r="J16" s="4" t="str">
        <f t="shared" si="2"/>
        <v>C</v>
      </c>
    </row>
    <row r="17" spans="1:10" x14ac:dyDescent="0.25">
      <c r="A17" s="4">
        <v>1016</v>
      </c>
      <c r="B17" s="5" t="s">
        <v>30</v>
      </c>
      <c r="C17" s="4" t="s">
        <v>16</v>
      </c>
      <c r="D17" s="4" t="s">
        <v>12</v>
      </c>
      <c r="E17" s="4">
        <v>59</v>
      </c>
      <c r="F17" s="4">
        <v>79</v>
      </c>
      <c r="G17" s="4">
        <v>18</v>
      </c>
      <c r="H17" s="4">
        <f t="shared" si="0"/>
        <v>156</v>
      </c>
      <c r="I17" s="4" t="str">
        <f t="shared" si="1"/>
        <v>Fail</v>
      </c>
      <c r="J17" s="4" t="str">
        <f t="shared" si="2"/>
        <v>C</v>
      </c>
    </row>
    <row r="18" spans="1:10" x14ac:dyDescent="0.25">
      <c r="A18" s="4">
        <v>1017</v>
      </c>
      <c r="B18" s="5" t="s">
        <v>31</v>
      </c>
      <c r="C18" s="4" t="s">
        <v>16</v>
      </c>
      <c r="D18" s="4" t="s">
        <v>14</v>
      </c>
      <c r="E18" s="4">
        <v>75</v>
      </c>
      <c r="F18" s="4">
        <v>87</v>
      </c>
      <c r="G18" s="4">
        <v>7</v>
      </c>
      <c r="H18" s="4">
        <f t="shared" si="0"/>
        <v>169</v>
      </c>
      <c r="I18" s="4" t="str">
        <f t="shared" si="1"/>
        <v>Fail</v>
      </c>
      <c r="J18" s="4" t="str">
        <f t="shared" si="2"/>
        <v>C</v>
      </c>
    </row>
    <row r="19" spans="1:10" x14ac:dyDescent="0.25">
      <c r="A19" s="4">
        <v>1018</v>
      </c>
      <c r="B19" s="5" t="s">
        <v>32</v>
      </c>
      <c r="C19" s="4" t="s">
        <v>16</v>
      </c>
      <c r="D19" s="4" t="s">
        <v>14</v>
      </c>
      <c r="E19" s="4">
        <v>59</v>
      </c>
      <c r="F19" s="4">
        <v>41</v>
      </c>
      <c r="G19" s="4">
        <v>86</v>
      </c>
      <c r="H19" s="4">
        <f t="shared" si="0"/>
        <v>186</v>
      </c>
      <c r="I19" s="4" t="str">
        <f t="shared" si="1"/>
        <v>Pass</v>
      </c>
      <c r="J19" s="4" t="str">
        <f t="shared" si="2"/>
        <v>C</v>
      </c>
    </row>
    <row r="20" spans="1:10" x14ac:dyDescent="0.25">
      <c r="A20" s="4">
        <v>1019</v>
      </c>
      <c r="B20" s="5" t="s">
        <v>33</v>
      </c>
      <c r="C20" s="4" t="s">
        <v>11</v>
      </c>
      <c r="D20" s="4" t="s">
        <v>26</v>
      </c>
      <c r="E20" s="4">
        <v>77</v>
      </c>
      <c r="F20" s="4">
        <v>22</v>
      </c>
      <c r="G20" s="4">
        <v>91</v>
      </c>
      <c r="H20" s="4">
        <f t="shared" si="0"/>
        <v>190</v>
      </c>
      <c r="I20" s="4" t="str">
        <f t="shared" si="1"/>
        <v>Fail</v>
      </c>
      <c r="J20" s="4" t="str">
        <f t="shared" si="2"/>
        <v>C</v>
      </c>
    </row>
    <row r="21" spans="1:10" x14ac:dyDescent="0.25">
      <c r="A21" s="4">
        <v>1020</v>
      </c>
      <c r="B21" s="5" t="s">
        <v>34</v>
      </c>
      <c r="C21" s="4" t="s">
        <v>11</v>
      </c>
      <c r="D21" s="4" t="s">
        <v>26</v>
      </c>
      <c r="E21" s="4">
        <v>72</v>
      </c>
      <c r="F21" s="4">
        <v>31</v>
      </c>
      <c r="G21" s="4">
        <v>63</v>
      </c>
      <c r="H21" s="4">
        <f t="shared" si="0"/>
        <v>166</v>
      </c>
      <c r="I21" s="4" t="str">
        <f t="shared" si="1"/>
        <v>Fail</v>
      </c>
      <c r="J21" s="4" t="str">
        <f t="shared" si="2"/>
        <v>C</v>
      </c>
    </row>
    <row r="22" spans="1:10" x14ac:dyDescent="0.25">
      <c r="A22" s="4">
        <v>1021</v>
      </c>
      <c r="B22" s="5" t="s">
        <v>35</v>
      </c>
      <c r="C22" s="4" t="s">
        <v>16</v>
      </c>
      <c r="D22" s="4" t="s">
        <v>12</v>
      </c>
      <c r="E22" s="4">
        <v>94</v>
      </c>
      <c r="F22" s="4">
        <v>73</v>
      </c>
      <c r="G22" s="4">
        <v>45</v>
      </c>
      <c r="H22" s="4">
        <f t="shared" si="0"/>
        <v>212</v>
      </c>
      <c r="I22" s="4" t="str">
        <f t="shared" si="1"/>
        <v>Pass</v>
      </c>
      <c r="J22" s="4" t="str">
        <f t="shared" si="2"/>
        <v>B</v>
      </c>
    </row>
    <row r="23" spans="1:10" x14ac:dyDescent="0.25">
      <c r="A23" s="4">
        <v>1022</v>
      </c>
      <c r="B23" s="5" t="s">
        <v>36</v>
      </c>
      <c r="C23" s="4" t="s">
        <v>16</v>
      </c>
      <c r="D23" s="4" t="s">
        <v>14</v>
      </c>
      <c r="E23" s="4">
        <v>87</v>
      </c>
      <c r="F23" s="4">
        <v>13</v>
      </c>
      <c r="G23" s="4">
        <v>19</v>
      </c>
      <c r="H23" s="4">
        <f t="shared" si="0"/>
        <v>119</v>
      </c>
      <c r="I23" s="4" t="str">
        <f t="shared" si="1"/>
        <v>Fail</v>
      </c>
      <c r="J23" s="4" t="str">
        <f t="shared" si="2"/>
        <v>D</v>
      </c>
    </row>
    <row r="24" spans="1:10" x14ac:dyDescent="0.25">
      <c r="A24" s="4">
        <v>1023</v>
      </c>
      <c r="B24" s="5" t="s">
        <v>37</v>
      </c>
      <c r="C24" s="4" t="s">
        <v>11</v>
      </c>
      <c r="D24" s="4" t="s">
        <v>12</v>
      </c>
      <c r="E24" s="4">
        <v>3</v>
      </c>
      <c r="F24" s="4">
        <v>89</v>
      </c>
      <c r="G24" s="4">
        <v>85</v>
      </c>
      <c r="H24" s="4">
        <f t="shared" si="0"/>
        <v>177</v>
      </c>
      <c r="I24" s="4" t="str">
        <f t="shared" si="1"/>
        <v>Fail</v>
      </c>
      <c r="J24" s="4" t="str">
        <f t="shared" si="2"/>
        <v>C</v>
      </c>
    </row>
    <row r="25" spans="1:10" x14ac:dyDescent="0.25">
      <c r="A25" s="4">
        <v>1024</v>
      </c>
      <c r="B25" s="5" t="s">
        <v>38</v>
      </c>
      <c r="C25" s="4" t="s">
        <v>11</v>
      </c>
      <c r="D25" s="4" t="s">
        <v>12</v>
      </c>
      <c r="E25" s="4">
        <v>36</v>
      </c>
      <c r="F25" s="4">
        <v>38</v>
      </c>
      <c r="G25" s="4">
        <v>96</v>
      </c>
      <c r="H25" s="4">
        <f t="shared" si="0"/>
        <v>170</v>
      </c>
      <c r="I25" s="4" t="str">
        <f t="shared" si="1"/>
        <v>Pass</v>
      </c>
      <c r="J25" s="4" t="str">
        <f t="shared" si="2"/>
        <v>C</v>
      </c>
    </row>
    <row r="26" spans="1:10" x14ac:dyDescent="0.25">
      <c r="A26" s="4">
        <v>1025</v>
      </c>
      <c r="B26" s="5" t="s">
        <v>25</v>
      </c>
      <c r="C26" s="4" t="s">
        <v>11</v>
      </c>
      <c r="D26" s="4" t="s">
        <v>12</v>
      </c>
      <c r="E26" s="4">
        <v>22</v>
      </c>
      <c r="F26" s="4">
        <v>57</v>
      </c>
      <c r="G26" s="4">
        <v>85</v>
      </c>
      <c r="H26" s="4">
        <f t="shared" si="0"/>
        <v>164</v>
      </c>
      <c r="I26" s="4" t="str">
        <f t="shared" si="1"/>
        <v>Fail</v>
      </c>
      <c r="J26" s="4" t="str">
        <f t="shared" si="2"/>
        <v>C</v>
      </c>
    </row>
    <row r="27" spans="1:10" x14ac:dyDescent="0.25">
      <c r="A27" s="4">
        <v>1026</v>
      </c>
      <c r="B27" s="5" t="s">
        <v>23</v>
      </c>
      <c r="C27" s="4" t="s">
        <v>16</v>
      </c>
      <c r="D27" s="4" t="s">
        <v>12</v>
      </c>
      <c r="E27" s="4">
        <v>87</v>
      </c>
      <c r="F27" s="4">
        <v>32</v>
      </c>
      <c r="G27" s="4">
        <v>61</v>
      </c>
      <c r="H27" s="4">
        <f t="shared" si="0"/>
        <v>180</v>
      </c>
      <c r="I27" s="4" t="str">
        <f t="shared" si="1"/>
        <v>Fail</v>
      </c>
      <c r="J27" s="4" t="str">
        <f t="shared" si="2"/>
        <v>C</v>
      </c>
    </row>
    <row r="28" spans="1:10" x14ac:dyDescent="0.25">
      <c r="A28" s="4">
        <v>1027</v>
      </c>
      <c r="B28" s="5" t="s">
        <v>39</v>
      </c>
      <c r="C28" s="4" t="s">
        <v>16</v>
      </c>
      <c r="D28" s="4" t="s">
        <v>26</v>
      </c>
      <c r="E28" s="4">
        <v>67</v>
      </c>
      <c r="F28" s="4">
        <v>60</v>
      </c>
      <c r="G28" s="4">
        <v>13</v>
      </c>
      <c r="H28" s="4">
        <f t="shared" si="0"/>
        <v>140</v>
      </c>
      <c r="I28" s="4" t="str">
        <f t="shared" si="1"/>
        <v>Fail</v>
      </c>
      <c r="J28" s="4" t="str">
        <f t="shared" si="2"/>
        <v>D</v>
      </c>
    </row>
    <row r="29" spans="1:10" x14ac:dyDescent="0.25">
      <c r="A29" s="4">
        <v>1028</v>
      </c>
      <c r="B29" s="5" t="s">
        <v>40</v>
      </c>
      <c r="C29" s="4" t="s">
        <v>16</v>
      </c>
      <c r="D29" s="4" t="s">
        <v>26</v>
      </c>
      <c r="E29" s="4">
        <v>90</v>
      </c>
      <c r="F29" s="4">
        <v>24</v>
      </c>
      <c r="G29" s="4">
        <v>58</v>
      </c>
      <c r="H29" s="4">
        <f t="shared" si="0"/>
        <v>172</v>
      </c>
      <c r="I29" s="4" t="str">
        <f t="shared" si="1"/>
        <v>Fail</v>
      </c>
      <c r="J29" s="4" t="str">
        <f t="shared" si="2"/>
        <v>C</v>
      </c>
    </row>
    <row r="30" spans="1:10" x14ac:dyDescent="0.25">
      <c r="A30" s="4">
        <v>1029</v>
      </c>
      <c r="B30" s="5" t="s">
        <v>41</v>
      </c>
      <c r="C30" s="4" t="s">
        <v>11</v>
      </c>
      <c r="D30" s="4" t="s">
        <v>12</v>
      </c>
      <c r="E30" s="4">
        <v>98</v>
      </c>
      <c r="F30" s="4">
        <v>47</v>
      </c>
      <c r="G30" s="4">
        <v>50</v>
      </c>
      <c r="H30" s="4">
        <f t="shared" si="0"/>
        <v>195</v>
      </c>
      <c r="I30" s="4" t="str">
        <f t="shared" si="1"/>
        <v>Pass</v>
      </c>
      <c r="J30" s="4" t="str">
        <f t="shared" si="2"/>
        <v>C</v>
      </c>
    </row>
    <row r="31" spans="1:10" x14ac:dyDescent="0.25">
      <c r="A31" s="4">
        <v>1030</v>
      </c>
      <c r="B31" s="5" t="s">
        <v>42</v>
      </c>
      <c r="C31" s="4" t="s">
        <v>11</v>
      </c>
      <c r="D31" s="4" t="s">
        <v>12</v>
      </c>
      <c r="E31" s="4">
        <v>45</v>
      </c>
      <c r="F31" s="4">
        <v>44</v>
      </c>
      <c r="G31" s="4">
        <v>35</v>
      </c>
      <c r="H31" s="4">
        <f t="shared" si="0"/>
        <v>124</v>
      </c>
      <c r="I31" s="4" t="str">
        <f t="shared" si="1"/>
        <v>Pass</v>
      </c>
      <c r="J31" s="4" t="str">
        <f t="shared" si="2"/>
        <v>D</v>
      </c>
    </row>
    <row r="32" spans="1:10" x14ac:dyDescent="0.25">
      <c r="A32" s="4">
        <v>1031</v>
      </c>
      <c r="B32" s="5" t="s">
        <v>43</v>
      </c>
      <c r="C32" s="4" t="s">
        <v>16</v>
      </c>
      <c r="D32" s="4" t="s">
        <v>26</v>
      </c>
      <c r="E32" s="4">
        <v>19</v>
      </c>
      <c r="F32" s="4">
        <v>27</v>
      </c>
      <c r="G32" s="4">
        <v>1</v>
      </c>
      <c r="H32" s="4">
        <f t="shared" si="0"/>
        <v>47</v>
      </c>
      <c r="I32" s="4" t="str">
        <f t="shared" si="1"/>
        <v>Fail</v>
      </c>
      <c r="J32" s="4" t="str">
        <f t="shared" si="2"/>
        <v>D</v>
      </c>
    </row>
    <row r="33" spans="1:10" x14ac:dyDescent="0.25">
      <c r="A33" s="4">
        <v>1032</v>
      </c>
      <c r="B33" s="5" t="s">
        <v>44</v>
      </c>
      <c r="C33" s="4" t="s">
        <v>11</v>
      </c>
      <c r="D33" s="4" t="s">
        <v>26</v>
      </c>
      <c r="E33" s="4">
        <v>50</v>
      </c>
      <c r="F33" s="4">
        <v>31</v>
      </c>
      <c r="G33" s="4">
        <v>50</v>
      </c>
      <c r="H33" s="4">
        <f t="shared" si="0"/>
        <v>131</v>
      </c>
      <c r="I33" s="4" t="str">
        <f t="shared" si="1"/>
        <v>Fail</v>
      </c>
      <c r="J33" s="4" t="str">
        <f t="shared" si="2"/>
        <v>D</v>
      </c>
    </row>
    <row r="34" spans="1:10" x14ac:dyDescent="0.25">
      <c r="A34" s="4">
        <v>1033</v>
      </c>
      <c r="B34" s="5" t="s">
        <v>45</v>
      </c>
      <c r="C34" s="4" t="s">
        <v>11</v>
      </c>
      <c r="D34" s="4" t="s">
        <v>26</v>
      </c>
      <c r="E34" s="4">
        <v>53</v>
      </c>
      <c r="F34" s="4">
        <v>35</v>
      </c>
      <c r="G34" s="4">
        <v>59</v>
      </c>
      <c r="H34" s="4">
        <f t="shared" si="0"/>
        <v>147</v>
      </c>
      <c r="I34" s="4" t="str">
        <f t="shared" si="1"/>
        <v>Pass</v>
      </c>
      <c r="J34" s="4" t="str">
        <f t="shared" si="2"/>
        <v>D</v>
      </c>
    </row>
    <row r="35" spans="1:10" x14ac:dyDescent="0.25">
      <c r="A35" s="4">
        <v>1034</v>
      </c>
      <c r="B35" s="5" t="s">
        <v>46</v>
      </c>
      <c r="C35" s="4" t="s">
        <v>11</v>
      </c>
      <c r="D35" s="4" t="s">
        <v>12</v>
      </c>
      <c r="E35" s="4">
        <v>54</v>
      </c>
      <c r="F35" s="4">
        <v>17</v>
      </c>
      <c r="G35" s="4">
        <v>61</v>
      </c>
      <c r="H35" s="4">
        <f t="shared" si="0"/>
        <v>132</v>
      </c>
      <c r="I35" s="4" t="str">
        <f t="shared" si="1"/>
        <v>Fail</v>
      </c>
      <c r="J35" s="4" t="str">
        <f t="shared" si="2"/>
        <v>D</v>
      </c>
    </row>
    <row r="36" spans="1:10" x14ac:dyDescent="0.25">
      <c r="A36" s="4">
        <v>1035</v>
      </c>
      <c r="B36" s="5" t="s">
        <v>30</v>
      </c>
      <c r="C36" s="4" t="s">
        <v>11</v>
      </c>
      <c r="D36" s="4" t="s">
        <v>14</v>
      </c>
      <c r="E36" s="4">
        <v>5</v>
      </c>
      <c r="F36" s="4">
        <v>86</v>
      </c>
      <c r="G36" s="4">
        <v>45</v>
      </c>
      <c r="H36" s="4">
        <f t="shared" si="0"/>
        <v>136</v>
      </c>
      <c r="I36" s="4" t="str">
        <f t="shared" si="1"/>
        <v>Fail</v>
      </c>
      <c r="J36" s="4" t="str">
        <f t="shared" si="2"/>
        <v>D</v>
      </c>
    </row>
    <row r="37" spans="1:10" x14ac:dyDescent="0.25">
      <c r="A37" s="4">
        <v>1036</v>
      </c>
      <c r="B37" s="5" t="s">
        <v>47</v>
      </c>
      <c r="C37" s="4" t="s">
        <v>16</v>
      </c>
      <c r="D37" s="4" t="s">
        <v>14</v>
      </c>
      <c r="E37" s="4">
        <v>47</v>
      </c>
      <c r="F37" s="4">
        <v>96</v>
      </c>
      <c r="G37" s="4">
        <v>22</v>
      </c>
      <c r="H37" s="4">
        <f t="shared" si="0"/>
        <v>165</v>
      </c>
      <c r="I37" s="4" t="str">
        <f t="shared" si="1"/>
        <v>Fail</v>
      </c>
      <c r="J37" s="4" t="str">
        <f t="shared" si="2"/>
        <v>C</v>
      </c>
    </row>
    <row r="38" spans="1:10" x14ac:dyDescent="0.25">
      <c r="A38" s="4">
        <v>1037</v>
      </c>
      <c r="B38" s="5" t="s">
        <v>48</v>
      </c>
      <c r="C38" s="4" t="s">
        <v>11</v>
      </c>
      <c r="D38" s="4" t="s">
        <v>12</v>
      </c>
      <c r="E38" s="4">
        <v>64</v>
      </c>
      <c r="F38" s="4">
        <v>64</v>
      </c>
      <c r="G38" s="4">
        <v>98</v>
      </c>
      <c r="H38" s="4">
        <f t="shared" si="0"/>
        <v>226</v>
      </c>
      <c r="I38" s="4" t="str">
        <f t="shared" si="1"/>
        <v>Pass</v>
      </c>
      <c r="J38" s="4" t="str">
        <f t="shared" si="2"/>
        <v>A</v>
      </c>
    </row>
    <row r="39" spans="1:10" x14ac:dyDescent="0.25">
      <c r="A39" s="4">
        <v>1038</v>
      </c>
      <c r="B39" s="5" t="s">
        <v>49</v>
      </c>
      <c r="C39" s="4" t="s">
        <v>16</v>
      </c>
      <c r="D39" s="4" t="s">
        <v>12</v>
      </c>
      <c r="E39" s="4">
        <v>89</v>
      </c>
      <c r="F39" s="4">
        <v>95</v>
      </c>
      <c r="G39" s="4">
        <v>32</v>
      </c>
      <c r="H39" s="4">
        <f t="shared" si="0"/>
        <v>216</v>
      </c>
      <c r="I39" s="4" t="str">
        <f t="shared" si="1"/>
        <v>Fail</v>
      </c>
      <c r="J39" s="4" t="str">
        <f t="shared" si="2"/>
        <v>B</v>
      </c>
    </row>
    <row r="40" spans="1:10" x14ac:dyDescent="0.25">
      <c r="A40" s="4">
        <v>1039</v>
      </c>
      <c r="B40" s="5" t="s">
        <v>50</v>
      </c>
      <c r="C40" s="4" t="s">
        <v>16</v>
      </c>
      <c r="D40" s="4" t="s">
        <v>12</v>
      </c>
      <c r="E40" s="4">
        <v>14</v>
      </c>
      <c r="F40" s="4">
        <v>22</v>
      </c>
      <c r="G40" s="4">
        <v>31</v>
      </c>
      <c r="H40" s="4">
        <f t="shared" si="0"/>
        <v>67</v>
      </c>
      <c r="I40" s="4" t="str">
        <f t="shared" si="1"/>
        <v>Fail</v>
      </c>
      <c r="J40" s="4" t="str">
        <f t="shared" si="2"/>
        <v>D</v>
      </c>
    </row>
    <row r="41" spans="1:10" x14ac:dyDescent="0.25">
      <c r="A41" s="4">
        <v>1040</v>
      </c>
      <c r="B41" s="5" t="s">
        <v>51</v>
      </c>
      <c r="C41" s="4" t="s">
        <v>16</v>
      </c>
      <c r="D41" s="4" t="s">
        <v>12</v>
      </c>
      <c r="E41" s="4">
        <v>69</v>
      </c>
      <c r="F41" s="4">
        <v>90</v>
      </c>
      <c r="G41" s="4">
        <v>77</v>
      </c>
      <c r="H41" s="4">
        <f t="shared" si="0"/>
        <v>236</v>
      </c>
      <c r="I41" s="4" t="str">
        <f t="shared" si="1"/>
        <v>Pass</v>
      </c>
      <c r="J41" s="4" t="str">
        <f t="shared" si="2"/>
        <v>A</v>
      </c>
    </row>
    <row r="42" spans="1:10" x14ac:dyDescent="0.25">
      <c r="A42" s="4">
        <v>1041</v>
      </c>
      <c r="B42" s="5" t="s">
        <v>52</v>
      </c>
      <c r="C42" s="4" t="s">
        <v>16</v>
      </c>
      <c r="D42" s="4" t="s">
        <v>12</v>
      </c>
      <c r="E42" s="4">
        <v>1</v>
      </c>
      <c r="F42" s="4">
        <v>28</v>
      </c>
      <c r="G42" s="4">
        <v>19</v>
      </c>
      <c r="H42" s="4">
        <f t="shared" si="0"/>
        <v>48</v>
      </c>
      <c r="I42" s="4" t="str">
        <f t="shared" si="1"/>
        <v>Fail</v>
      </c>
      <c r="J42" s="4" t="str">
        <f t="shared" si="2"/>
        <v>D</v>
      </c>
    </row>
    <row r="43" spans="1:10" x14ac:dyDescent="0.25">
      <c r="A43" s="4">
        <v>1042</v>
      </c>
      <c r="B43" s="5" t="s">
        <v>53</v>
      </c>
      <c r="C43" s="4" t="s">
        <v>16</v>
      </c>
      <c r="D43" s="4" t="s">
        <v>12</v>
      </c>
      <c r="E43" s="4">
        <v>29</v>
      </c>
      <c r="F43" s="4">
        <v>3</v>
      </c>
      <c r="G43" s="4">
        <v>96</v>
      </c>
      <c r="H43" s="4">
        <f t="shared" si="0"/>
        <v>128</v>
      </c>
      <c r="I43" s="4" t="str">
        <f t="shared" si="1"/>
        <v>Fail</v>
      </c>
      <c r="J43" s="4" t="str">
        <f t="shared" si="2"/>
        <v>D</v>
      </c>
    </row>
    <row r="44" spans="1:10" x14ac:dyDescent="0.25">
      <c r="A44" s="4">
        <v>1043</v>
      </c>
      <c r="B44" s="5" t="s">
        <v>54</v>
      </c>
      <c r="C44" s="4" t="s">
        <v>16</v>
      </c>
      <c r="D44" s="4" t="s">
        <v>14</v>
      </c>
      <c r="E44" s="4">
        <v>67</v>
      </c>
      <c r="F44" s="4">
        <v>92</v>
      </c>
      <c r="G44" s="4">
        <v>14</v>
      </c>
      <c r="H44" s="4">
        <f t="shared" si="0"/>
        <v>173</v>
      </c>
      <c r="I44" s="4" t="str">
        <f t="shared" si="1"/>
        <v>Fail</v>
      </c>
      <c r="J44" s="4" t="str">
        <f t="shared" si="2"/>
        <v>C</v>
      </c>
    </row>
    <row r="45" spans="1:10" x14ac:dyDescent="0.25">
      <c r="A45" s="4">
        <v>1044</v>
      </c>
      <c r="B45" s="5" t="s">
        <v>55</v>
      </c>
      <c r="C45" s="4" t="s">
        <v>11</v>
      </c>
      <c r="D45" s="4" t="s">
        <v>14</v>
      </c>
      <c r="E45" s="4">
        <v>81</v>
      </c>
      <c r="F45" s="4">
        <v>18</v>
      </c>
      <c r="G45" s="4">
        <v>91</v>
      </c>
      <c r="H45" s="4">
        <f t="shared" si="0"/>
        <v>190</v>
      </c>
      <c r="I45" s="4" t="str">
        <f t="shared" si="1"/>
        <v>Fail</v>
      </c>
      <c r="J45" s="4" t="str">
        <f t="shared" si="2"/>
        <v>C</v>
      </c>
    </row>
    <row r="46" spans="1:10" x14ac:dyDescent="0.25">
      <c r="A46" s="4">
        <v>1045</v>
      </c>
      <c r="B46" s="5" t="s">
        <v>23</v>
      </c>
      <c r="C46" s="4" t="s">
        <v>16</v>
      </c>
      <c r="D46" s="4" t="s">
        <v>12</v>
      </c>
      <c r="E46" s="4">
        <v>20</v>
      </c>
      <c r="F46" s="4">
        <v>81</v>
      </c>
      <c r="G46" s="4">
        <v>92</v>
      </c>
      <c r="H46" s="4">
        <f t="shared" si="0"/>
        <v>193</v>
      </c>
      <c r="I46" s="4" t="str">
        <f t="shared" si="1"/>
        <v>Fail</v>
      </c>
      <c r="J46" s="4" t="str">
        <f t="shared" si="2"/>
        <v>C</v>
      </c>
    </row>
    <row r="47" spans="1:10" x14ac:dyDescent="0.25">
      <c r="A47" s="4">
        <v>1046</v>
      </c>
      <c r="B47" s="5" t="s">
        <v>20</v>
      </c>
      <c r="C47" s="4" t="s">
        <v>16</v>
      </c>
      <c r="D47" s="4" t="s">
        <v>26</v>
      </c>
      <c r="E47" s="4">
        <v>30</v>
      </c>
      <c r="F47" s="4">
        <v>16</v>
      </c>
      <c r="G47" s="4">
        <v>5</v>
      </c>
      <c r="H47" s="4">
        <f t="shared" si="0"/>
        <v>51</v>
      </c>
      <c r="I47" s="4" t="str">
        <f t="shared" si="1"/>
        <v>Fail</v>
      </c>
      <c r="J47" s="4" t="str">
        <f t="shared" si="2"/>
        <v>D</v>
      </c>
    </row>
    <row r="48" spans="1:10" x14ac:dyDescent="0.25">
      <c r="A48" s="4">
        <v>1047</v>
      </c>
      <c r="B48" s="5" t="s">
        <v>18</v>
      </c>
      <c r="C48" s="4" t="s">
        <v>11</v>
      </c>
      <c r="D48" s="4" t="s">
        <v>26</v>
      </c>
      <c r="E48" s="4">
        <v>12</v>
      </c>
      <c r="F48" s="4">
        <v>4</v>
      </c>
      <c r="G48" s="4">
        <v>20</v>
      </c>
      <c r="H48" s="4">
        <f t="shared" si="0"/>
        <v>36</v>
      </c>
      <c r="I48" s="4" t="str">
        <f t="shared" si="1"/>
        <v>Fail</v>
      </c>
      <c r="J48" s="4" t="str">
        <f t="shared" si="2"/>
        <v>D</v>
      </c>
    </row>
    <row r="49" spans="1:10" x14ac:dyDescent="0.25">
      <c r="A49" s="4">
        <v>1048</v>
      </c>
      <c r="B49" s="5" t="s">
        <v>56</v>
      </c>
      <c r="C49" s="4" t="s">
        <v>16</v>
      </c>
      <c r="D49" s="4" t="s">
        <v>26</v>
      </c>
      <c r="E49" s="4">
        <v>53</v>
      </c>
      <c r="F49" s="4">
        <v>75</v>
      </c>
      <c r="G49" s="4">
        <v>43</v>
      </c>
      <c r="H49" s="4">
        <f t="shared" si="0"/>
        <v>171</v>
      </c>
      <c r="I49" s="4" t="str">
        <f t="shared" si="1"/>
        <v>Pass</v>
      </c>
      <c r="J49" s="4" t="str">
        <f t="shared" si="2"/>
        <v>C</v>
      </c>
    </row>
    <row r="50" spans="1:10" x14ac:dyDescent="0.25">
      <c r="A50" s="4">
        <v>1049</v>
      </c>
      <c r="B50" s="5" t="s">
        <v>57</v>
      </c>
      <c r="C50" s="4" t="s">
        <v>16</v>
      </c>
      <c r="D50" s="4" t="s">
        <v>26</v>
      </c>
      <c r="E50" s="4">
        <v>34</v>
      </c>
      <c r="F50" s="4">
        <v>73</v>
      </c>
      <c r="G50" s="4">
        <v>77</v>
      </c>
      <c r="H50" s="4">
        <f t="shared" si="0"/>
        <v>184</v>
      </c>
      <c r="I50" s="4" t="str">
        <f t="shared" si="1"/>
        <v>Fail</v>
      </c>
      <c r="J50" s="4" t="str">
        <f t="shared" si="2"/>
        <v>C</v>
      </c>
    </row>
    <row r="51" spans="1:10" x14ac:dyDescent="0.25">
      <c r="A51" s="4">
        <v>1050</v>
      </c>
      <c r="B51" s="5" t="s">
        <v>58</v>
      </c>
      <c r="C51" s="4" t="s">
        <v>11</v>
      </c>
      <c r="D51" s="4" t="s">
        <v>26</v>
      </c>
      <c r="E51" s="4">
        <v>80</v>
      </c>
      <c r="F51" s="4">
        <v>13</v>
      </c>
      <c r="G51" s="4">
        <v>3</v>
      </c>
      <c r="H51" s="4">
        <f t="shared" si="0"/>
        <v>96</v>
      </c>
      <c r="I51" s="4" t="str">
        <f t="shared" si="1"/>
        <v>Fail</v>
      </c>
      <c r="J51" s="4" t="str">
        <f t="shared" si="2"/>
        <v>D</v>
      </c>
    </row>
    <row r="52" spans="1:10" x14ac:dyDescent="0.25">
      <c r="A52" s="4">
        <v>1051</v>
      </c>
      <c r="B52" s="5" t="s">
        <v>59</v>
      </c>
      <c r="C52" s="4" t="s">
        <v>11</v>
      </c>
      <c r="D52" s="4" t="s">
        <v>26</v>
      </c>
      <c r="E52" s="4">
        <v>29</v>
      </c>
      <c r="F52" s="4">
        <v>54</v>
      </c>
      <c r="G52" s="4">
        <v>73</v>
      </c>
      <c r="H52" s="4">
        <f t="shared" si="0"/>
        <v>156</v>
      </c>
      <c r="I52" s="4" t="str">
        <f t="shared" si="1"/>
        <v>Fail</v>
      </c>
      <c r="J52" s="4" t="str">
        <f t="shared" si="2"/>
        <v>C</v>
      </c>
    </row>
    <row r="53" spans="1:10" x14ac:dyDescent="0.25">
      <c r="A53" s="4">
        <v>1052</v>
      </c>
      <c r="B53" s="5" t="s">
        <v>60</v>
      </c>
      <c r="C53" s="4" t="s">
        <v>16</v>
      </c>
      <c r="D53" s="4" t="s">
        <v>12</v>
      </c>
      <c r="E53" s="4">
        <v>0</v>
      </c>
      <c r="F53" s="4">
        <v>94</v>
      </c>
      <c r="G53" s="4">
        <v>3</v>
      </c>
      <c r="H53" s="4">
        <f t="shared" si="0"/>
        <v>97</v>
      </c>
      <c r="I53" s="4" t="str">
        <f t="shared" si="1"/>
        <v>Fail</v>
      </c>
      <c r="J53" s="4" t="str">
        <f t="shared" si="2"/>
        <v>D</v>
      </c>
    </row>
    <row r="54" spans="1:10" x14ac:dyDescent="0.25">
      <c r="A54" s="4">
        <v>1053</v>
      </c>
      <c r="B54" s="5" t="s">
        <v>44</v>
      </c>
      <c r="C54" s="4" t="s">
        <v>16</v>
      </c>
      <c r="D54" s="4" t="s">
        <v>26</v>
      </c>
      <c r="E54" s="4">
        <v>96</v>
      </c>
      <c r="F54" s="4">
        <v>78</v>
      </c>
      <c r="G54" s="4">
        <v>8</v>
      </c>
      <c r="H54" s="4">
        <f t="shared" si="0"/>
        <v>182</v>
      </c>
      <c r="I54" s="4" t="str">
        <f t="shared" si="1"/>
        <v>Fail</v>
      </c>
      <c r="J54" s="4" t="str">
        <f t="shared" si="2"/>
        <v>C</v>
      </c>
    </row>
    <row r="55" spans="1:10" x14ac:dyDescent="0.25">
      <c r="A55" s="4">
        <v>1054</v>
      </c>
      <c r="B55" s="5" t="s">
        <v>61</v>
      </c>
      <c r="C55" s="4" t="s">
        <v>16</v>
      </c>
      <c r="D55" s="4" t="s">
        <v>14</v>
      </c>
      <c r="E55" s="4">
        <v>84</v>
      </c>
      <c r="F55" s="4">
        <v>82</v>
      </c>
      <c r="G55" s="4">
        <v>70</v>
      </c>
      <c r="H55" s="4">
        <f t="shared" si="0"/>
        <v>236</v>
      </c>
      <c r="I55" s="4" t="str">
        <f t="shared" si="1"/>
        <v>Pass</v>
      </c>
      <c r="J55" s="4" t="str">
        <f t="shared" si="2"/>
        <v>A</v>
      </c>
    </row>
    <row r="56" spans="1:10" x14ac:dyDescent="0.25">
      <c r="A56" s="4">
        <v>1055</v>
      </c>
      <c r="B56" s="5" t="s">
        <v>62</v>
      </c>
      <c r="C56" s="4" t="s">
        <v>16</v>
      </c>
      <c r="D56" s="4" t="s">
        <v>12</v>
      </c>
      <c r="E56" s="4">
        <v>54</v>
      </c>
      <c r="F56" s="4">
        <v>72</v>
      </c>
      <c r="G56" s="4">
        <v>35</v>
      </c>
      <c r="H56" s="4">
        <f t="shared" si="0"/>
        <v>161</v>
      </c>
      <c r="I56" s="4" t="str">
        <f t="shared" si="1"/>
        <v>Pass</v>
      </c>
      <c r="J56" s="4" t="str">
        <f t="shared" si="2"/>
        <v>C</v>
      </c>
    </row>
    <row r="57" spans="1:10" x14ac:dyDescent="0.25">
      <c r="A57" s="4">
        <v>1056</v>
      </c>
      <c r="B57" s="5" t="s">
        <v>40</v>
      </c>
      <c r="C57" s="4" t="s">
        <v>16</v>
      </c>
      <c r="D57" s="4" t="s">
        <v>12</v>
      </c>
      <c r="E57" s="4">
        <v>11</v>
      </c>
      <c r="F57" s="4">
        <v>76</v>
      </c>
      <c r="G57" s="4">
        <v>39</v>
      </c>
      <c r="H57" s="4">
        <f t="shared" si="0"/>
        <v>126</v>
      </c>
      <c r="I57" s="4" t="str">
        <f t="shared" si="1"/>
        <v>Fail</v>
      </c>
      <c r="J57" s="4" t="str">
        <f t="shared" si="2"/>
        <v>D</v>
      </c>
    </row>
    <row r="58" spans="1:10" x14ac:dyDescent="0.25">
      <c r="A58" s="4">
        <v>1057</v>
      </c>
      <c r="B58" s="5" t="s">
        <v>45</v>
      </c>
      <c r="C58" s="4" t="s">
        <v>11</v>
      </c>
      <c r="D58" s="4" t="s">
        <v>12</v>
      </c>
      <c r="E58" s="4">
        <v>91</v>
      </c>
      <c r="F58" s="4">
        <v>53</v>
      </c>
      <c r="G58" s="4">
        <v>40</v>
      </c>
      <c r="H58" s="4">
        <f t="shared" si="0"/>
        <v>184</v>
      </c>
      <c r="I58" s="4" t="str">
        <f t="shared" si="1"/>
        <v>Pass</v>
      </c>
      <c r="J58" s="4" t="str">
        <f t="shared" si="2"/>
        <v>C</v>
      </c>
    </row>
    <row r="59" spans="1:10" x14ac:dyDescent="0.25">
      <c r="A59" s="4">
        <v>1058</v>
      </c>
      <c r="B59" s="5" t="s">
        <v>63</v>
      </c>
      <c r="C59" s="4" t="s">
        <v>16</v>
      </c>
      <c r="D59" s="4" t="s">
        <v>26</v>
      </c>
      <c r="E59" s="4">
        <v>87</v>
      </c>
      <c r="F59" s="4">
        <v>40</v>
      </c>
      <c r="G59" s="4">
        <v>31</v>
      </c>
      <c r="H59" s="4">
        <f t="shared" si="0"/>
        <v>158</v>
      </c>
      <c r="I59" s="4" t="str">
        <f t="shared" si="1"/>
        <v>Fail</v>
      </c>
      <c r="J59" s="4" t="str">
        <f t="shared" si="2"/>
        <v>C</v>
      </c>
    </row>
    <row r="60" spans="1:10" x14ac:dyDescent="0.25">
      <c r="A60" s="4">
        <v>1059</v>
      </c>
      <c r="B60" s="5" t="s">
        <v>64</v>
      </c>
      <c r="C60" s="4" t="s">
        <v>16</v>
      </c>
      <c r="D60" s="4" t="s">
        <v>12</v>
      </c>
      <c r="E60" s="4">
        <v>74</v>
      </c>
      <c r="F60" s="4">
        <v>65</v>
      </c>
      <c r="G60" s="4">
        <v>36</v>
      </c>
      <c r="H60" s="4">
        <f t="shared" si="0"/>
        <v>175</v>
      </c>
      <c r="I60" s="4" t="str">
        <f t="shared" si="1"/>
        <v>Pass</v>
      </c>
      <c r="J60" s="4" t="str">
        <f t="shared" si="2"/>
        <v>C</v>
      </c>
    </row>
    <row r="61" spans="1:10" x14ac:dyDescent="0.25">
      <c r="A61" s="4">
        <v>1060</v>
      </c>
      <c r="B61" s="5" t="s">
        <v>65</v>
      </c>
      <c r="C61" s="4" t="s">
        <v>16</v>
      </c>
      <c r="D61" s="4" t="s">
        <v>26</v>
      </c>
      <c r="E61" s="4">
        <v>22</v>
      </c>
      <c r="F61" s="4">
        <v>84</v>
      </c>
      <c r="G61" s="4">
        <v>89</v>
      </c>
      <c r="H61" s="4">
        <f t="shared" si="0"/>
        <v>195</v>
      </c>
      <c r="I61" s="4" t="str">
        <f t="shared" si="1"/>
        <v>Fail</v>
      </c>
      <c r="J61" s="4" t="str">
        <f t="shared" si="2"/>
        <v>C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tabSelected="1" workbookViewId="0">
      <selection activeCell="D14" sqref="D14"/>
    </sheetView>
  </sheetViews>
  <sheetFormatPr defaultRowHeight="15" x14ac:dyDescent="0.25"/>
  <cols>
    <col min="1" max="1" width="6.7109375" style="3" customWidth="1"/>
    <col min="2" max="2" width="15.28515625" bestFit="1" customWidth="1"/>
    <col min="3" max="3" width="11.28515625" bestFit="1" customWidth="1"/>
    <col min="4" max="4" width="17.42578125" bestFit="1" customWidth="1"/>
    <col min="5" max="5" width="13.28515625" style="3" bestFit="1" customWidth="1"/>
    <col min="6" max="6" width="14.28515625" style="3" bestFit="1" customWidth="1"/>
    <col min="7" max="7" width="11" style="3" bestFit="1" customWidth="1"/>
  </cols>
  <sheetData>
    <row r="1" spans="1:7" x14ac:dyDescent="0.25">
      <c r="A1" s="24" t="s">
        <v>229</v>
      </c>
      <c r="B1" s="24" t="s">
        <v>230</v>
      </c>
      <c r="C1" s="24" t="s">
        <v>231</v>
      </c>
      <c r="D1" s="24" t="s">
        <v>232</v>
      </c>
      <c r="E1" s="24" t="s">
        <v>233</v>
      </c>
      <c r="F1" s="24" t="s">
        <v>322</v>
      </c>
      <c r="G1" s="24" t="s">
        <v>72</v>
      </c>
    </row>
    <row r="2" spans="1:7" x14ac:dyDescent="0.25">
      <c r="A2" s="4" t="s">
        <v>234</v>
      </c>
      <c r="B2" s="5" t="s">
        <v>235</v>
      </c>
      <c r="C2" s="5" t="s">
        <v>236</v>
      </c>
      <c r="D2" s="5" t="s">
        <v>237</v>
      </c>
      <c r="E2" s="4">
        <v>115</v>
      </c>
      <c r="F2" s="4">
        <v>50</v>
      </c>
      <c r="G2" s="4">
        <f>IF(E2-F2, E2-F2, F2-E2)</f>
        <v>65</v>
      </c>
    </row>
    <row r="3" spans="1:7" x14ac:dyDescent="0.25">
      <c r="A3" s="4" t="s">
        <v>238</v>
      </c>
      <c r="B3" s="5" t="s">
        <v>239</v>
      </c>
      <c r="C3" s="5" t="s">
        <v>240</v>
      </c>
      <c r="D3" s="5" t="s">
        <v>237</v>
      </c>
      <c r="E3" s="4">
        <v>127</v>
      </c>
      <c r="F3" s="4">
        <v>50</v>
      </c>
      <c r="G3" s="4">
        <f t="shared" ref="G3:G61" si="0">IF(E3-F3, E3-F3, F3-E3)</f>
        <v>77</v>
      </c>
    </row>
    <row r="4" spans="1:7" x14ac:dyDescent="0.25">
      <c r="A4" s="4" t="s">
        <v>241</v>
      </c>
      <c r="B4" s="5" t="s">
        <v>242</v>
      </c>
      <c r="C4" s="5" t="s">
        <v>243</v>
      </c>
      <c r="D4" s="5" t="s">
        <v>244</v>
      </c>
      <c r="E4" s="4">
        <v>33</v>
      </c>
      <c r="F4" s="4">
        <v>50</v>
      </c>
      <c r="G4" s="4">
        <f t="shared" si="0"/>
        <v>-17</v>
      </c>
    </row>
    <row r="5" spans="1:7" x14ac:dyDescent="0.25">
      <c r="A5" s="4" t="s">
        <v>245</v>
      </c>
      <c r="B5" s="5" t="s">
        <v>246</v>
      </c>
      <c r="C5" s="5" t="s">
        <v>243</v>
      </c>
      <c r="D5" s="5" t="s">
        <v>237</v>
      </c>
      <c r="E5" s="4">
        <v>136</v>
      </c>
      <c r="F5" s="4">
        <v>50</v>
      </c>
      <c r="G5" s="4">
        <f t="shared" si="0"/>
        <v>86</v>
      </c>
    </row>
    <row r="6" spans="1:7" x14ac:dyDescent="0.25">
      <c r="A6" s="4" t="s">
        <v>247</v>
      </c>
      <c r="B6" s="5" t="s">
        <v>248</v>
      </c>
      <c r="C6" s="5" t="s">
        <v>243</v>
      </c>
      <c r="D6" s="5" t="s">
        <v>237</v>
      </c>
      <c r="E6" s="4">
        <v>177</v>
      </c>
      <c r="F6" s="4">
        <v>50</v>
      </c>
      <c r="G6" s="4">
        <f t="shared" si="0"/>
        <v>127</v>
      </c>
    </row>
    <row r="7" spans="1:7" x14ac:dyDescent="0.25">
      <c r="A7" s="4" t="s">
        <v>249</v>
      </c>
      <c r="B7" s="5" t="s">
        <v>250</v>
      </c>
      <c r="C7" s="5" t="s">
        <v>243</v>
      </c>
      <c r="D7" s="5" t="s">
        <v>244</v>
      </c>
      <c r="E7" s="4">
        <v>163</v>
      </c>
      <c r="F7" s="4">
        <v>50</v>
      </c>
      <c r="G7" s="4">
        <f t="shared" si="0"/>
        <v>113</v>
      </c>
    </row>
    <row r="8" spans="1:7" x14ac:dyDescent="0.25">
      <c r="A8" s="4" t="s">
        <v>251</v>
      </c>
      <c r="B8" s="5" t="s">
        <v>242</v>
      </c>
      <c r="C8" s="5" t="s">
        <v>240</v>
      </c>
      <c r="D8" s="5" t="s">
        <v>252</v>
      </c>
      <c r="E8" s="4">
        <v>147</v>
      </c>
      <c r="F8" s="4">
        <v>50</v>
      </c>
      <c r="G8" s="4">
        <f t="shared" si="0"/>
        <v>97</v>
      </c>
    </row>
    <row r="9" spans="1:7" x14ac:dyDescent="0.25">
      <c r="A9" s="4" t="s">
        <v>253</v>
      </c>
      <c r="B9" s="5" t="s">
        <v>254</v>
      </c>
      <c r="C9" s="5" t="s">
        <v>243</v>
      </c>
      <c r="D9" s="5" t="s">
        <v>244</v>
      </c>
      <c r="E9" s="4">
        <v>117</v>
      </c>
      <c r="F9" s="4">
        <v>50</v>
      </c>
      <c r="G9" s="4">
        <f t="shared" si="0"/>
        <v>67</v>
      </c>
    </row>
    <row r="10" spans="1:7" x14ac:dyDescent="0.25">
      <c r="A10" s="4" t="s">
        <v>255</v>
      </c>
      <c r="B10" s="5" t="s">
        <v>256</v>
      </c>
      <c r="C10" s="5" t="s">
        <v>236</v>
      </c>
      <c r="D10" s="5" t="s">
        <v>237</v>
      </c>
      <c r="E10" s="4">
        <v>108</v>
      </c>
      <c r="F10" s="4">
        <v>50</v>
      </c>
      <c r="G10" s="4">
        <f t="shared" si="0"/>
        <v>58</v>
      </c>
    </row>
    <row r="11" spans="1:7" x14ac:dyDescent="0.25">
      <c r="A11" s="4" t="s">
        <v>257</v>
      </c>
      <c r="B11" s="5" t="s">
        <v>242</v>
      </c>
      <c r="C11" s="5" t="s">
        <v>240</v>
      </c>
      <c r="D11" s="5" t="s">
        <v>244</v>
      </c>
      <c r="E11" s="4">
        <v>39</v>
      </c>
      <c r="F11" s="4">
        <v>50</v>
      </c>
      <c r="G11" s="4">
        <f t="shared" si="0"/>
        <v>-11</v>
      </c>
    </row>
    <row r="12" spans="1:7" x14ac:dyDescent="0.25">
      <c r="A12" s="4" t="s">
        <v>258</v>
      </c>
      <c r="B12" s="5" t="s">
        <v>256</v>
      </c>
      <c r="C12" s="5" t="s">
        <v>236</v>
      </c>
      <c r="D12" s="5" t="s">
        <v>244</v>
      </c>
      <c r="E12" s="4">
        <v>36</v>
      </c>
      <c r="F12" s="4">
        <v>50</v>
      </c>
      <c r="G12" s="4">
        <f t="shared" si="0"/>
        <v>-14</v>
      </c>
    </row>
    <row r="13" spans="1:7" x14ac:dyDescent="0.25">
      <c r="A13" s="4" t="s">
        <v>259</v>
      </c>
      <c r="B13" s="5" t="s">
        <v>239</v>
      </c>
      <c r="C13" s="5" t="s">
        <v>236</v>
      </c>
      <c r="D13" s="5" t="s">
        <v>252</v>
      </c>
      <c r="E13" s="4">
        <v>99</v>
      </c>
      <c r="F13" s="4">
        <v>50</v>
      </c>
      <c r="G13" s="4">
        <f t="shared" si="0"/>
        <v>49</v>
      </c>
    </row>
    <row r="14" spans="1:7" x14ac:dyDescent="0.25">
      <c r="A14" s="4" t="s">
        <v>260</v>
      </c>
      <c r="B14" s="5" t="s">
        <v>261</v>
      </c>
      <c r="C14" s="5" t="s">
        <v>243</v>
      </c>
      <c r="D14" s="5" t="s">
        <v>262</v>
      </c>
      <c r="E14" s="4">
        <v>93</v>
      </c>
      <c r="F14" s="4">
        <v>50</v>
      </c>
      <c r="G14" s="4">
        <f t="shared" si="0"/>
        <v>43</v>
      </c>
    </row>
    <row r="15" spans="1:7" x14ac:dyDescent="0.25">
      <c r="A15" s="4" t="s">
        <v>263</v>
      </c>
      <c r="B15" s="5" t="s">
        <v>250</v>
      </c>
      <c r="C15" s="5" t="s">
        <v>240</v>
      </c>
      <c r="D15" s="5" t="s">
        <v>262</v>
      </c>
      <c r="E15" s="4">
        <v>171</v>
      </c>
      <c r="F15" s="4">
        <v>50</v>
      </c>
      <c r="G15" s="4">
        <f t="shared" si="0"/>
        <v>121</v>
      </c>
    </row>
    <row r="16" spans="1:7" x14ac:dyDescent="0.25">
      <c r="A16" s="4" t="s">
        <v>264</v>
      </c>
      <c r="B16" s="5" t="s">
        <v>265</v>
      </c>
      <c r="C16" s="5" t="s">
        <v>240</v>
      </c>
      <c r="D16" s="5" t="s">
        <v>237</v>
      </c>
      <c r="E16" s="4">
        <v>98</v>
      </c>
      <c r="F16" s="4">
        <v>50</v>
      </c>
      <c r="G16" s="4">
        <f t="shared" si="0"/>
        <v>48</v>
      </c>
    </row>
    <row r="17" spans="1:7" x14ac:dyDescent="0.25">
      <c r="A17" s="4" t="s">
        <v>266</v>
      </c>
      <c r="B17" s="5" t="s">
        <v>267</v>
      </c>
      <c r="C17" s="5" t="s">
        <v>236</v>
      </c>
      <c r="D17" s="5" t="s">
        <v>252</v>
      </c>
      <c r="E17" s="4">
        <v>32</v>
      </c>
      <c r="F17" s="4">
        <v>50</v>
      </c>
      <c r="G17" s="4">
        <f t="shared" si="0"/>
        <v>-18</v>
      </c>
    </row>
    <row r="18" spans="1:7" x14ac:dyDescent="0.25">
      <c r="A18" s="4" t="s">
        <v>268</v>
      </c>
      <c r="B18" s="5" t="s">
        <v>269</v>
      </c>
      <c r="C18" s="5" t="s">
        <v>236</v>
      </c>
      <c r="D18" s="5" t="s">
        <v>262</v>
      </c>
      <c r="E18" s="4">
        <v>196</v>
      </c>
      <c r="F18" s="4">
        <v>50</v>
      </c>
      <c r="G18" s="4">
        <f t="shared" si="0"/>
        <v>146</v>
      </c>
    </row>
    <row r="19" spans="1:7" x14ac:dyDescent="0.25">
      <c r="A19" s="4" t="s">
        <v>270</v>
      </c>
      <c r="B19" s="5" t="s">
        <v>242</v>
      </c>
      <c r="C19" s="5" t="s">
        <v>236</v>
      </c>
      <c r="D19" s="5" t="s">
        <v>237</v>
      </c>
      <c r="E19" s="4">
        <v>152</v>
      </c>
      <c r="F19" s="4">
        <v>50</v>
      </c>
      <c r="G19" s="4">
        <f t="shared" si="0"/>
        <v>102</v>
      </c>
    </row>
    <row r="20" spans="1:7" x14ac:dyDescent="0.25">
      <c r="A20" s="4" t="s">
        <v>271</v>
      </c>
      <c r="B20" s="5" t="s">
        <v>246</v>
      </c>
      <c r="C20" s="5" t="s">
        <v>240</v>
      </c>
      <c r="D20" s="5" t="s">
        <v>237</v>
      </c>
      <c r="E20" s="4">
        <v>12</v>
      </c>
      <c r="F20" s="4">
        <v>50</v>
      </c>
      <c r="G20" s="4">
        <f t="shared" si="0"/>
        <v>-38</v>
      </c>
    </row>
    <row r="21" spans="1:7" x14ac:dyDescent="0.25">
      <c r="A21" s="4" t="s">
        <v>272</v>
      </c>
      <c r="B21" s="5" t="s">
        <v>273</v>
      </c>
      <c r="C21" s="5" t="s">
        <v>274</v>
      </c>
      <c r="D21" s="5" t="s">
        <v>262</v>
      </c>
      <c r="E21" s="4">
        <v>146</v>
      </c>
      <c r="F21" s="4">
        <v>50</v>
      </c>
      <c r="G21" s="4">
        <f t="shared" si="0"/>
        <v>96</v>
      </c>
    </row>
    <row r="22" spans="1:7" x14ac:dyDescent="0.25">
      <c r="A22" s="4" t="s">
        <v>275</v>
      </c>
      <c r="B22" s="5" t="s">
        <v>248</v>
      </c>
      <c r="C22" s="5" t="s">
        <v>243</v>
      </c>
      <c r="D22" s="5" t="s">
        <v>262</v>
      </c>
      <c r="E22" s="4">
        <v>99</v>
      </c>
      <c r="F22" s="4">
        <v>50</v>
      </c>
      <c r="G22" s="4">
        <f t="shared" si="0"/>
        <v>49</v>
      </c>
    </row>
    <row r="23" spans="1:7" x14ac:dyDescent="0.25">
      <c r="A23" s="4" t="s">
        <v>276</v>
      </c>
      <c r="B23" s="5" t="s">
        <v>256</v>
      </c>
      <c r="C23" s="5" t="s">
        <v>274</v>
      </c>
      <c r="D23" s="5" t="s">
        <v>244</v>
      </c>
      <c r="E23" s="4">
        <v>59</v>
      </c>
      <c r="F23" s="4">
        <v>50</v>
      </c>
      <c r="G23" s="4">
        <f t="shared" si="0"/>
        <v>9</v>
      </c>
    </row>
    <row r="24" spans="1:7" x14ac:dyDescent="0.25">
      <c r="A24" s="4" t="s">
        <v>277</v>
      </c>
      <c r="B24" s="5" t="s">
        <v>265</v>
      </c>
      <c r="C24" s="5" t="s">
        <v>274</v>
      </c>
      <c r="D24" s="5" t="s">
        <v>262</v>
      </c>
      <c r="E24" s="4">
        <v>85</v>
      </c>
      <c r="F24" s="4">
        <v>50</v>
      </c>
      <c r="G24" s="4">
        <f t="shared" si="0"/>
        <v>35</v>
      </c>
    </row>
    <row r="25" spans="1:7" x14ac:dyDescent="0.25">
      <c r="A25" s="4" t="s">
        <v>278</v>
      </c>
      <c r="B25" s="5" t="s">
        <v>267</v>
      </c>
      <c r="C25" s="5" t="s">
        <v>236</v>
      </c>
      <c r="D25" s="5" t="s">
        <v>262</v>
      </c>
      <c r="E25" s="4">
        <v>46</v>
      </c>
      <c r="F25" s="4">
        <v>50</v>
      </c>
      <c r="G25" s="4">
        <f t="shared" si="0"/>
        <v>-4</v>
      </c>
    </row>
    <row r="26" spans="1:7" x14ac:dyDescent="0.25">
      <c r="A26" s="4" t="s">
        <v>279</v>
      </c>
      <c r="B26" s="5" t="s">
        <v>280</v>
      </c>
      <c r="C26" s="5" t="s">
        <v>240</v>
      </c>
      <c r="D26" s="5" t="s">
        <v>262</v>
      </c>
      <c r="E26" s="4">
        <v>108</v>
      </c>
      <c r="F26" s="4">
        <v>50</v>
      </c>
      <c r="G26" s="4">
        <f t="shared" si="0"/>
        <v>58</v>
      </c>
    </row>
    <row r="27" spans="1:7" x14ac:dyDescent="0.25">
      <c r="A27" s="4" t="s">
        <v>281</v>
      </c>
      <c r="B27" s="5" t="s">
        <v>246</v>
      </c>
      <c r="C27" s="5" t="s">
        <v>243</v>
      </c>
      <c r="D27" s="5" t="s">
        <v>262</v>
      </c>
      <c r="E27" s="4">
        <v>118</v>
      </c>
      <c r="F27" s="4">
        <v>50</v>
      </c>
      <c r="G27" s="4">
        <f t="shared" si="0"/>
        <v>68</v>
      </c>
    </row>
    <row r="28" spans="1:7" x14ac:dyDescent="0.25">
      <c r="A28" s="4" t="s">
        <v>282</v>
      </c>
      <c r="B28" s="5" t="s">
        <v>242</v>
      </c>
      <c r="C28" s="5" t="s">
        <v>274</v>
      </c>
      <c r="D28" s="5" t="s">
        <v>262</v>
      </c>
      <c r="E28" s="4">
        <v>111</v>
      </c>
      <c r="F28" s="4">
        <v>50</v>
      </c>
      <c r="G28" s="4">
        <f t="shared" si="0"/>
        <v>61</v>
      </c>
    </row>
    <row r="29" spans="1:7" x14ac:dyDescent="0.25">
      <c r="A29" s="4" t="s">
        <v>283</v>
      </c>
      <c r="B29" s="5" t="s">
        <v>280</v>
      </c>
      <c r="C29" s="5" t="s">
        <v>236</v>
      </c>
      <c r="D29" s="5" t="s">
        <v>262</v>
      </c>
      <c r="E29" s="4">
        <v>99</v>
      </c>
      <c r="F29" s="4">
        <v>50</v>
      </c>
      <c r="G29" s="4">
        <f t="shared" si="0"/>
        <v>49</v>
      </c>
    </row>
    <row r="30" spans="1:7" x14ac:dyDescent="0.25">
      <c r="A30" s="4" t="s">
        <v>284</v>
      </c>
      <c r="B30" s="5" t="s">
        <v>261</v>
      </c>
      <c r="C30" s="5" t="s">
        <v>274</v>
      </c>
      <c r="D30" s="5" t="s">
        <v>252</v>
      </c>
      <c r="E30" s="4">
        <v>154</v>
      </c>
      <c r="F30" s="4">
        <v>50</v>
      </c>
      <c r="G30" s="4">
        <f t="shared" si="0"/>
        <v>104</v>
      </c>
    </row>
    <row r="31" spans="1:7" x14ac:dyDescent="0.25">
      <c r="A31" s="4" t="s">
        <v>285</v>
      </c>
      <c r="B31" s="5" t="s">
        <v>250</v>
      </c>
      <c r="C31" s="5" t="s">
        <v>240</v>
      </c>
      <c r="D31" s="5" t="s">
        <v>262</v>
      </c>
      <c r="E31" s="4">
        <v>20</v>
      </c>
      <c r="F31" s="4">
        <v>50</v>
      </c>
      <c r="G31" s="4">
        <f t="shared" si="0"/>
        <v>-30</v>
      </c>
    </row>
    <row r="32" spans="1:7" x14ac:dyDescent="0.25">
      <c r="A32" s="4" t="s">
        <v>286</v>
      </c>
      <c r="B32" s="5" t="s">
        <v>287</v>
      </c>
      <c r="C32" s="5" t="s">
        <v>274</v>
      </c>
      <c r="D32" s="5" t="s">
        <v>244</v>
      </c>
      <c r="E32" s="4">
        <v>4</v>
      </c>
      <c r="F32" s="4">
        <v>50</v>
      </c>
      <c r="G32" s="4">
        <f t="shared" si="0"/>
        <v>-46</v>
      </c>
    </row>
    <row r="33" spans="1:7" x14ac:dyDescent="0.25">
      <c r="A33" s="4" t="s">
        <v>288</v>
      </c>
      <c r="B33" s="5" t="s">
        <v>261</v>
      </c>
      <c r="C33" s="5" t="s">
        <v>240</v>
      </c>
      <c r="D33" s="5" t="s">
        <v>244</v>
      </c>
      <c r="E33" s="4">
        <v>136</v>
      </c>
      <c r="F33" s="4">
        <v>50</v>
      </c>
      <c r="G33" s="4">
        <f t="shared" si="0"/>
        <v>86</v>
      </c>
    </row>
    <row r="34" spans="1:7" x14ac:dyDescent="0.25">
      <c r="A34" s="4" t="s">
        <v>289</v>
      </c>
      <c r="B34" s="5" t="s">
        <v>290</v>
      </c>
      <c r="C34" s="5" t="s">
        <v>243</v>
      </c>
      <c r="D34" s="5" t="s">
        <v>262</v>
      </c>
      <c r="E34" s="4">
        <v>128</v>
      </c>
      <c r="F34" s="4">
        <v>50</v>
      </c>
      <c r="G34" s="4">
        <f t="shared" si="0"/>
        <v>78</v>
      </c>
    </row>
    <row r="35" spans="1:7" x14ac:dyDescent="0.25">
      <c r="A35" s="4" t="s">
        <v>291</v>
      </c>
      <c r="B35" s="5" t="s">
        <v>250</v>
      </c>
      <c r="C35" s="5" t="s">
        <v>240</v>
      </c>
      <c r="D35" s="5" t="s">
        <v>262</v>
      </c>
      <c r="E35" s="4">
        <v>9</v>
      </c>
      <c r="F35" s="4">
        <v>50</v>
      </c>
      <c r="G35" s="4">
        <f t="shared" si="0"/>
        <v>-41</v>
      </c>
    </row>
    <row r="36" spans="1:7" x14ac:dyDescent="0.25">
      <c r="A36" s="4" t="s">
        <v>292</v>
      </c>
      <c r="B36" s="5" t="s">
        <v>293</v>
      </c>
      <c r="C36" s="5" t="s">
        <v>236</v>
      </c>
      <c r="D36" s="5" t="s">
        <v>244</v>
      </c>
      <c r="E36" s="4">
        <v>28</v>
      </c>
      <c r="F36" s="4">
        <v>50</v>
      </c>
      <c r="G36" s="4">
        <f t="shared" si="0"/>
        <v>-22</v>
      </c>
    </row>
    <row r="37" spans="1:7" x14ac:dyDescent="0.25">
      <c r="A37" s="4" t="s">
        <v>294</v>
      </c>
      <c r="B37" s="5" t="s">
        <v>256</v>
      </c>
      <c r="C37" s="5" t="s">
        <v>240</v>
      </c>
      <c r="D37" s="5" t="s">
        <v>237</v>
      </c>
      <c r="E37" s="4">
        <v>38</v>
      </c>
      <c r="F37" s="4">
        <v>50</v>
      </c>
      <c r="G37" s="4">
        <f t="shared" si="0"/>
        <v>-12</v>
      </c>
    </row>
    <row r="38" spans="1:7" x14ac:dyDescent="0.25">
      <c r="A38" s="4" t="s">
        <v>295</v>
      </c>
      <c r="B38" s="5" t="s">
        <v>296</v>
      </c>
      <c r="C38" s="5" t="s">
        <v>240</v>
      </c>
      <c r="D38" s="5" t="s">
        <v>237</v>
      </c>
      <c r="E38" s="4">
        <v>114</v>
      </c>
      <c r="F38" s="4">
        <v>50</v>
      </c>
      <c r="G38" s="4">
        <f t="shared" si="0"/>
        <v>64</v>
      </c>
    </row>
    <row r="39" spans="1:7" x14ac:dyDescent="0.25">
      <c r="A39" s="4" t="s">
        <v>297</v>
      </c>
      <c r="B39" s="5" t="s">
        <v>290</v>
      </c>
      <c r="C39" s="5" t="s">
        <v>274</v>
      </c>
      <c r="D39" s="5" t="s">
        <v>244</v>
      </c>
      <c r="E39" s="4">
        <v>108</v>
      </c>
      <c r="F39" s="4">
        <v>50</v>
      </c>
      <c r="G39" s="4">
        <f t="shared" si="0"/>
        <v>58</v>
      </c>
    </row>
    <row r="40" spans="1:7" x14ac:dyDescent="0.25">
      <c r="A40" s="4" t="s">
        <v>298</v>
      </c>
      <c r="B40" s="5" t="s">
        <v>296</v>
      </c>
      <c r="C40" s="5" t="s">
        <v>236</v>
      </c>
      <c r="D40" s="5" t="s">
        <v>252</v>
      </c>
      <c r="E40" s="4">
        <v>5</v>
      </c>
      <c r="F40" s="4">
        <v>50</v>
      </c>
      <c r="G40" s="4">
        <f t="shared" si="0"/>
        <v>-45</v>
      </c>
    </row>
    <row r="41" spans="1:7" x14ac:dyDescent="0.25">
      <c r="A41" s="4" t="s">
        <v>299</v>
      </c>
      <c r="B41" s="5" t="s">
        <v>250</v>
      </c>
      <c r="C41" s="5" t="s">
        <v>236</v>
      </c>
      <c r="D41" s="5" t="s">
        <v>244</v>
      </c>
      <c r="E41" s="4">
        <v>38</v>
      </c>
      <c r="F41" s="4">
        <v>50</v>
      </c>
      <c r="G41" s="4">
        <f t="shared" si="0"/>
        <v>-12</v>
      </c>
    </row>
    <row r="42" spans="1:7" x14ac:dyDescent="0.25">
      <c r="A42" s="4" t="s">
        <v>300</v>
      </c>
      <c r="B42" s="5" t="s">
        <v>296</v>
      </c>
      <c r="C42" s="5" t="s">
        <v>236</v>
      </c>
      <c r="D42" s="5" t="s">
        <v>244</v>
      </c>
      <c r="E42" s="4">
        <v>192</v>
      </c>
      <c r="F42" s="4">
        <v>50</v>
      </c>
      <c r="G42" s="4">
        <f t="shared" si="0"/>
        <v>142</v>
      </c>
    </row>
    <row r="43" spans="1:7" x14ac:dyDescent="0.25">
      <c r="A43" s="4" t="s">
        <v>301</v>
      </c>
      <c r="B43" s="5" t="s">
        <v>235</v>
      </c>
      <c r="C43" s="5" t="s">
        <v>274</v>
      </c>
      <c r="D43" s="5" t="s">
        <v>262</v>
      </c>
      <c r="E43" s="4">
        <v>61</v>
      </c>
      <c r="F43" s="4">
        <v>50</v>
      </c>
      <c r="G43" s="4">
        <f t="shared" si="0"/>
        <v>11</v>
      </c>
    </row>
    <row r="44" spans="1:7" x14ac:dyDescent="0.25">
      <c r="A44" s="4" t="s">
        <v>302</v>
      </c>
      <c r="B44" s="5" t="s">
        <v>273</v>
      </c>
      <c r="C44" s="5" t="s">
        <v>240</v>
      </c>
      <c r="D44" s="5" t="s">
        <v>237</v>
      </c>
      <c r="E44" s="4">
        <v>123</v>
      </c>
      <c r="F44" s="4">
        <v>50</v>
      </c>
      <c r="G44" s="4">
        <f t="shared" si="0"/>
        <v>73</v>
      </c>
    </row>
    <row r="45" spans="1:7" x14ac:dyDescent="0.25">
      <c r="A45" s="4" t="s">
        <v>303</v>
      </c>
      <c r="B45" s="5" t="s">
        <v>267</v>
      </c>
      <c r="C45" s="5" t="s">
        <v>243</v>
      </c>
      <c r="D45" s="5" t="s">
        <v>237</v>
      </c>
      <c r="E45" s="4">
        <v>35</v>
      </c>
      <c r="F45" s="4">
        <v>50</v>
      </c>
      <c r="G45" s="4">
        <f t="shared" si="0"/>
        <v>-15</v>
      </c>
    </row>
    <row r="46" spans="1:7" x14ac:dyDescent="0.25">
      <c r="A46" s="4" t="s">
        <v>304</v>
      </c>
      <c r="B46" s="5" t="s">
        <v>305</v>
      </c>
      <c r="C46" s="5" t="s">
        <v>236</v>
      </c>
      <c r="D46" s="5" t="s">
        <v>237</v>
      </c>
      <c r="E46" s="4">
        <v>151</v>
      </c>
      <c r="F46" s="4">
        <v>50</v>
      </c>
      <c r="G46" s="4">
        <f t="shared" si="0"/>
        <v>101</v>
      </c>
    </row>
    <row r="47" spans="1:7" x14ac:dyDescent="0.25">
      <c r="A47" s="4" t="s">
        <v>306</v>
      </c>
      <c r="B47" s="5" t="s">
        <v>296</v>
      </c>
      <c r="C47" s="5" t="s">
        <v>243</v>
      </c>
      <c r="D47" s="5" t="s">
        <v>244</v>
      </c>
      <c r="E47" s="4">
        <v>104</v>
      </c>
      <c r="F47" s="4">
        <v>50</v>
      </c>
      <c r="G47" s="4">
        <f t="shared" si="0"/>
        <v>54</v>
      </c>
    </row>
    <row r="48" spans="1:7" x14ac:dyDescent="0.25">
      <c r="A48" s="4" t="s">
        <v>307</v>
      </c>
      <c r="B48" s="5" t="s">
        <v>280</v>
      </c>
      <c r="C48" s="5" t="s">
        <v>236</v>
      </c>
      <c r="D48" s="5" t="s">
        <v>244</v>
      </c>
      <c r="E48" s="4">
        <v>181</v>
      </c>
      <c r="F48" s="4">
        <v>50</v>
      </c>
      <c r="G48" s="4">
        <f t="shared" si="0"/>
        <v>131</v>
      </c>
    </row>
    <row r="49" spans="1:7" x14ac:dyDescent="0.25">
      <c r="A49" s="4" t="s">
        <v>308</v>
      </c>
      <c r="B49" s="5" t="s">
        <v>235</v>
      </c>
      <c r="C49" s="5" t="s">
        <v>243</v>
      </c>
      <c r="D49" s="5" t="s">
        <v>252</v>
      </c>
      <c r="E49" s="4">
        <v>41</v>
      </c>
      <c r="F49" s="4">
        <v>50</v>
      </c>
      <c r="G49" s="4">
        <f t="shared" si="0"/>
        <v>-9</v>
      </c>
    </row>
    <row r="50" spans="1:7" x14ac:dyDescent="0.25">
      <c r="A50" s="4" t="s">
        <v>309</v>
      </c>
      <c r="B50" s="5" t="s">
        <v>293</v>
      </c>
      <c r="C50" s="5" t="s">
        <v>236</v>
      </c>
      <c r="D50" s="5" t="s">
        <v>252</v>
      </c>
      <c r="E50" s="4">
        <v>129</v>
      </c>
      <c r="F50" s="4">
        <v>50</v>
      </c>
      <c r="G50" s="4">
        <f t="shared" si="0"/>
        <v>79</v>
      </c>
    </row>
    <row r="51" spans="1:7" x14ac:dyDescent="0.25">
      <c r="A51" s="4" t="s">
        <v>310</v>
      </c>
      <c r="B51" s="5" t="s">
        <v>287</v>
      </c>
      <c r="C51" s="5" t="s">
        <v>243</v>
      </c>
      <c r="D51" s="5" t="s">
        <v>252</v>
      </c>
      <c r="E51" s="4">
        <v>24</v>
      </c>
      <c r="F51" s="4">
        <v>50</v>
      </c>
      <c r="G51" s="4">
        <f t="shared" si="0"/>
        <v>-26</v>
      </c>
    </row>
    <row r="52" spans="1:7" x14ac:dyDescent="0.25">
      <c r="A52" s="4" t="s">
        <v>311</v>
      </c>
      <c r="B52" s="5" t="s">
        <v>273</v>
      </c>
      <c r="C52" s="5" t="s">
        <v>236</v>
      </c>
      <c r="D52" s="5" t="s">
        <v>262</v>
      </c>
      <c r="E52" s="4">
        <v>50</v>
      </c>
      <c r="F52" s="4">
        <v>50</v>
      </c>
      <c r="G52" s="4">
        <f t="shared" si="0"/>
        <v>0</v>
      </c>
    </row>
    <row r="53" spans="1:7" x14ac:dyDescent="0.25">
      <c r="A53" s="4" t="s">
        <v>312</v>
      </c>
      <c r="B53" s="5" t="s">
        <v>280</v>
      </c>
      <c r="C53" s="5" t="s">
        <v>274</v>
      </c>
      <c r="D53" s="5" t="s">
        <v>237</v>
      </c>
      <c r="E53" s="4">
        <v>88</v>
      </c>
      <c r="F53" s="4">
        <v>50</v>
      </c>
      <c r="G53" s="4">
        <f t="shared" si="0"/>
        <v>38</v>
      </c>
    </row>
    <row r="54" spans="1:7" x14ac:dyDescent="0.25">
      <c r="A54" s="4" t="s">
        <v>313</v>
      </c>
      <c r="B54" s="5" t="s">
        <v>261</v>
      </c>
      <c r="C54" s="5" t="s">
        <v>240</v>
      </c>
      <c r="D54" s="5" t="s">
        <v>252</v>
      </c>
      <c r="E54" s="4">
        <v>128</v>
      </c>
      <c r="F54" s="4">
        <v>50</v>
      </c>
      <c r="G54" s="4">
        <f t="shared" si="0"/>
        <v>78</v>
      </c>
    </row>
    <row r="55" spans="1:7" x14ac:dyDescent="0.25">
      <c r="A55" s="4" t="s">
        <v>314</v>
      </c>
      <c r="B55" s="5" t="s">
        <v>250</v>
      </c>
      <c r="C55" s="5" t="s">
        <v>274</v>
      </c>
      <c r="D55" s="5" t="s">
        <v>244</v>
      </c>
      <c r="E55" s="4">
        <v>127</v>
      </c>
      <c r="F55" s="4">
        <v>50</v>
      </c>
      <c r="G55" s="4">
        <f t="shared" si="0"/>
        <v>77</v>
      </c>
    </row>
    <row r="56" spans="1:7" x14ac:dyDescent="0.25">
      <c r="A56" s="4" t="s">
        <v>315</v>
      </c>
      <c r="B56" s="5" t="s">
        <v>296</v>
      </c>
      <c r="C56" s="5" t="s">
        <v>236</v>
      </c>
      <c r="D56" s="5" t="s">
        <v>262</v>
      </c>
      <c r="E56" s="4">
        <v>100</v>
      </c>
      <c r="F56" s="4">
        <v>50</v>
      </c>
      <c r="G56" s="4">
        <f t="shared" si="0"/>
        <v>50</v>
      </c>
    </row>
    <row r="57" spans="1:7" x14ac:dyDescent="0.25">
      <c r="A57" s="4" t="s">
        <v>316</v>
      </c>
      <c r="B57" s="5" t="s">
        <v>293</v>
      </c>
      <c r="C57" s="5" t="s">
        <v>240</v>
      </c>
      <c r="D57" s="5" t="s">
        <v>252</v>
      </c>
      <c r="E57" s="4">
        <v>117</v>
      </c>
      <c r="F57" s="4">
        <v>50</v>
      </c>
      <c r="G57" s="4">
        <f t="shared" si="0"/>
        <v>67</v>
      </c>
    </row>
    <row r="58" spans="1:7" x14ac:dyDescent="0.25">
      <c r="A58" s="4" t="s">
        <v>317</v>
      </c>
      <c r="B58" s="5" t="s">
        <v>296</v>
      </c>
      <c r="C58" s="5" t="s">
        <v>274</v>
      </c>
      <c r="D58" s="5" t="s">
        <v>244</v>
      </c>
      <c r="E58" s="4">
        <v>169</v>
      </c>
      <c r="F58" s="4">
        <v>50</v>
      </c>
      <c r="G58" s="4">
        <f t="shared" si="0"/>
        <v>119</v>
      </c>
    </row>
    <row r="59" spans="1:7" x14ac:dyDescent="0.25">
      <c r="A59" s="4" t="s">
        <v>318</v>
      </c>
      <c r="B59" s="5" t="s">
        <v>235</v>
      </c>
      <c r="C59" s="5" t="s">
        <v>236</v>
      </c>
      <c r="D59" s="5" t="s">
        <v>244</v>
      </c>
      <c r="E59" s="4">
        <v>149</v>
      </c>
      <c r="F59" s="4">
        <v>50</v>
      </c>
      <c r="G59" s="4">
        <f t="shared" si="0"/>
        <v>99</v>
      </c>
    </row>
    <row r="60" spans="1:7" x14ac:dyDescent="0.25">
      <c r="A60" s="4" t="s">
        <v>319</v>
      </c>
      <c r="B60" s="5" t="s">
        <v>246</v>
      </c>
      <c r="C60" s="5" t="s">
        <v>240</v>
      </c>
      <c r="D60" s="5" t="s">
        <v>252</v>
      </c>
      <c r="E60" s="4">
        <v>72</v>
      </c>
      <c r="F60" s="4">
        <v>50</v>
      </c>
      <c r="G60" s="4">
        <f t="shared" si="0"/>
        <v>22</v>
      </c>
    </row>
    <row r="61" spans="1:7" x14ac:dyDescent="0.25">
      <c r="A61" s="4" t="s">
        <v>320</v>
      </c>
      <c r="B61" s="5" t="s">
        <v>269</v>
      </c>
      <c r="C61" s="5" t="s">
        <v>236</v>
      </c>
      <c r="D61" s="5" t="s">
        <v>252</v>
      </c>
      <c r="E61" s="4">
        <v>135</v>
      </c>
      <c r="F61" s="4">
        <v>50</v>
      </c>
      <c r="G61" s="4">
        <f t="shared" si="0"/>
        <v>85</v>
      </c>
    </row>
  </sheetData>
  <conditionalFormatting sqref="G1:G1048576">
    <cfRule type="cellIs" dxfId="38" priority="2" operator="greaterThan">
      <formula>0</formula>
    </cfRule>
    <cfRule type="cellIs" dxfId="37" priority="1" operator="lessThan">
      <formula>0</formula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>
      <selection activeCell="E5" sqref="E5"/>
    </sheetView>
  </sheetViews>
  <sheetFormatPr defaultRowHeight="15" x14ac:dyDescent="0.25"/>
  <cols>
    <col min="1" max="1" width="11.28515625" style="3" bestFit="1" customWidth="1"/>
    <col min="2" max="2" width="14.85546875" bestFit="1" customWidth="1"/>
    <col min="3" max="3" width="10" customWidth="1"/>
    <col min="4" max="4" width="10.85546875" style="3" bestFit="1" customWidth="1"/>
    <col min="5" max="5" width="15.42578125" style="3" bestFit="1" customWidth="1"/>
    <col min="6" max="6" width="11.140625" style="3" customWidth="1"/>
    <col min="7" max="7" width="12.5703125" style="3" customWidth="1"/>
    <col min="8" max="8" width="11" style="2" bestFit="1" customWidth="1"/>
  </cols>
  <sheetData>
    <row r="1" spans="1:8" x14ac:dyDescent="0.25">
      <c r="A1" s="20" t="s">
        <v>66</v>
      </c>
      <c r="B1" s="21" t="s">
        <v>1</v>
      </c>
      <c r="C1" s="21" t="s">
        <v>67</v>
      </c>
      <c r="D1" s="21" t="s">
        <v>68</v>
      </c>
      <c r="E1" s="21" t="s">
        <v>69</v>
      </c>
      <c r="F1" s="21" t="s">
        <v>70</v>
      </c>
      <c r="G1" s="21" t="s">
        <v>72</v>
      </c>
      <c r="H1" s="22" t="s">
        <v>71</v>
      </c>
    </row>
    <row r="2" spans="1:8" x14ac:dyDescent="0.25">
      <c r="A2" s="8" t="s">
        <v>73</v>
      </c>
      <c r="B2" s="5" t="s">
        <v>53</v>
      </c>
      <c r="C2" s="5" t="s">
        <v>74</v>
      </c>
      <c r="D2" s="4">
        <v>55016</v>
      </c>
      <c r="E2" s="4">
        <v>10</v>
      </c>
      <c r="F2" s="4">
        <v>5</v>
      </c>
      <c r="G2" s="4" t="str">
        <f>IF(AND(E2&gt;=8,F2&gt;=4),"Promote", "Hold on")</f>
        <v>Promote</v>
      </c>
      <c r="H2" s="9">
        <f>IF(AND(E2&gt;=10,F2=5), 15%, IF(AND(E2&gt;=8, F2=4), 10%, IF(AND(E2&gt;=6, F2=3), 5%, 2%)))</f>
        <v>0.15</v>
      </c>
    </row>
    <row r="3" spans="1:8" x14ac:dyDescent="0.25">
      <c r="A3" s="8" t="s">
        <v>75</v>
      </c>
      <c r="B3" s="5" t="s">
        <v>65</v>
      </c>
      <c r="C3" s="5" t="s">
        <v>74</v>
      </c>
      <c r="D3" s="4">
        <v>39285</v>
      </c>
      <c r="E3" s="4">
        <v>14</v>
      </c>
      <c r="F3" s="4">
        <v>4</v>
      </c>
      <c r="G3" s="4" t="str">
        <f t="shared" ref="G3:G61" si="0">IF(AND(E3&gt;=8,F3&gt;=4),"Promote", "Hold on")</f>
        <v>Promote</v>
      </c>
      <c r="H3" s="9">
        <f t="shared" ref="H3:H61" si="1">IF(AND(E3&gt;=10,F3=5), 15%, IF(AND(E3&gt;=8, F3=4), 10%, IF(AND(E3&gt;=6, F3=3), 5%, 2%)))</f>
        <v>0.1</v>
      </c>
    </row>
    <row r="4" spans="1:8" x14ac:dyDescent="0.25">
      <c r="A4" s="8" t="s">
        <v>76</v>
      </c>
      <c r="B4" s="5" t="s">
        <v>77</v>
      </c>
      <c r="C4" s="5" t="s">
        <v>78</v>
      </c>
      <c r="D4" s="4">
        <v>77753</v>
      </c>
      <c r="E4" s="4">
        <v>1</v>
      </c>
      <c r="F4" s="4">
        <v>2</v>
      </c>
      <c r="G4" s="4" t="str">
        <f t="shared" si="0"/>
        <v>Hold on</v>
      </c>
      <c r="H4" s="9">
        <f t="shared" si="1"/>
        <v>0.02</v>
      </c>
    </row>
    <row r="5" spans="1:8" x14ac:dyDescent="0.25">
      <c r="A5" s="8" t="s">
        <v>79</v>
      </c>
      <c r="B5" s="5" t="s">
        <v>80</v>
      </c>
      <c r="C5" s="5" t="s">
        <v>81</v>
      </c>
      <c r="D5" s="4">
        <v>39964</v>
      </c>
      <c r="E5" s="4">
        <v>8</v>
      </c>
      <c r="F5" s="4">
        <v>2</v>
      </c>
      <c r="G5" s="4" t="str">
        <f t="shared" si="0"/>
        <v>Hold on</v>
      </c>
      <c r="H5" s="9">
        <f t="shared" si="1"/>
        <v>0.02</v>
      </c>
    </row>
    <row r="6" spans="1:8" x14ac:dyDescent="0.25">
      <c r="A6" s="8" t="s">
        <v>82</v>
      </c>
      <c r="B6" s="5" t="s">
        <v>83</v>
      </c>
      <c r="C6" s="5" t="s">
        <v>81</v>
      </c>
      <c r="D6" s="4">
        <v>86705</v>
      </c>
      <c r="E6" s="4">
        <v>14</v>
      </c>
      <c r="F6" s="4">
        <v>1</v>
      </c>
      <c r="G6" s="4" t="str">
        <f t="shared" si="0"/>
        <v>Hold on</v>
      </c>
      <c r="H6" s="9">
        <f t="shared" si="1"/>
        <v>0.02</v>
      </c>
    </row>
    <row r="7" spans="1:8" x14ac:dyDescent="0.25">
      <c r="A7" s="8" t="s">
        <v>84</v>
      </c>
      <c r="B7" s="5" t="s">
        <v>62</v>
      </c>
      <c r="C7" s="5" t="s">
        <v>81</v>
      </c>
      <c r="D7" s="4">
        <v>49845</v>
      </c>
      <c r="E7" s="4">
        <v>3</v>
      </c>
      <c r="F7" s="4">
        <v>3</v>
      </c>
      <c r="G7" s="4" t="str">
        <f t="shared" si="0"/>
        <v>Hold on</v>
      </c>
      <c r="H7" s="9">
        <f t="shared" si="1"/>
        <v>0.02</v>
      </c>
    </row>
    <row r="8" spans="1:8" x14ac:dyDescent="0.25">
      <c r="A8" s="8" t="s">
        <v>85</v>
      </c>
      <c r="B8" s="5" t="s">
        <v>86</v>
      </c>
      <c r="C8" s="5" t="s">
        <v>78</v>
      </c>
      <c r="D8" s="4">
        <v>75258</v>
      </c>
      <c r="E8" s="4">
        <v>15</v>
      </c>
      <c r="F8" s="4">
        <v>4</v>
      </c>
      <c r="G8" s="4" t="str">
        <f t="shared" si="0"/>
        <v>Promote</v>
      </c>
      <c r="H8" s="9">
        <f t="shared" si="1"/>
        <v>0.1</v>
      </c>
    </row>
    <row r="9" spans="1:8" x14ac:dyDescent="0.25">
      <c r="A9" s="8" t="s">
        <v>87</v>
      </c>
      <c r="B9" s="5" t="s">
        <v>88</v>
      </c>
      <c r="C9" s="5" t="s">
        <v>78</v>
      </c>
      <c r="D9" s="4">
        <v>28045</v>
      </c>
      <c r="E9" s="4">
        <v>11</v>
      </c>
      <c r="F9" s="4">
        <v>2</v>
      </c>
      <c r="G9" s="4" t="str">
        <f t="shared" si="0"/>
        <v>Hold on</v>
      </c>
      <c r="H9" s="9">
        <f t="shared" si="1"/>
        <v>0.02</v>
      </c>
    </row>
    <row r="10" spans="1:8" x14ac:dyDescent="0.25">
      <c r="A10" s="8" t="s">
        <v>89</v>
      </c>
      <c r="B10" s="5" t="s">
        <v>53</v>
      </c>
      <c r="C10" s="5" t="s">
        <v>74</v>
      </c>
      <c r="D10" s="4">
        <v>86714</v>
      </c>
      <c r="E10" s="4">
        <v>6</v>
      </c>
      <c r="F10" s="4">
        <v>5</v>
      </c>
      <c r="G10" s="4" t="str">
        <f t="shared" si="0"/>
        <v>Hold on</v>
      </c>
      <c r="H10" s="9">
        <f t="shared" si="1"/>
        <v>0.02</v>
      </c>
    </row>
    <row r="11" spans="1:8" x14ac:dyDescent="0.25">
      <c r="A11" s="8" t="s">
        <v>90</v>
      </c>
      <c r="B11" s="5" t="s">
        <v>91</v>
      </c>
      <c r="C11" s="5" t="s">
        <v>78</v>
      </c>
      <c r="D11" s="4">
        <v>39040</v>
      </c>
      <c r="E11" s="4">
        <v>6</v>
      </c>
      <c r="F11" s="4">
        <v>4</v>
      </c>
      <c r="G11" s="4" t="str">
        <f t="shared" si="0"/>
        <v>Hold on</v>
      </c>
      <c r="H11" s="9">
        <f t="shared" si="1"/>
        <v>0.02</v>
      </c>
    </row>
    <row r="12" spans="1:8" x14ac:dyDescent="0.25">
      <c r="A12" s="8" t="s">
        <v>92</v>
      </c>
      <c r="B12" s="5" t="s">
        <v>93</v>
      </c>
      <c r="C12" s="5" t="s">
        <v>81</v>
      </c>
      <c r="D12" s="4">
        <v>83784</v>
      </c>
      <c r="E12" s="4">
        <v>2</v>
      </c>
      <c r="F12" s="4">
        <v>5</v>
      </c>
      <c r="G12" s="4" t="str">
        <f t="shared" si="0"/>
        <v>Hold on</v>
      </c>
      <c r="H12" s="9">
        <f t="shared" si="1"/>
        <v>0.02</v>
      </c>
    </row>
    <row r="13" spans="1:8" x14ac:dyDescent="0.25">
      <c r="A13" s="8" t="s">
        <v>94</v>
      </c>
      <c r="B13" s="5" t="s">
        <v>95</v>
      </c>
      <c r="C13" s="5" t="s">
        <v>81</v>
      </c>
      <c r="D13" s="4">
        <v>71528</v>
      </c>
      <c r="E13" s="4">
        <v>6</v>
      </c>
      <c r="F13" s="4">
        <v>3</v>
      </c>
      <c r="G13" s="4" t="str">
        <f t="shared" si="0"/>
        <v>Hold on</v>
      </c>
      <c r="H13" s="9">
        <f t="shared" si="1"/>
        <v>0.05</v>
      </c>
    </row>
    <row r="14" spans="1:8" x14ac:dyDescent="0.25">
      <c r="A14" s="8" t="s">
        <v>96</v>
      </c>
      <c r="B14" s="5" t="s">
        <v>97</v>
      </c>
      <c r="C14" s="5" t="s">
        <v>81</v>
      </c>
      <c r="D14" s="4">
        <v>74480</v>
      </c>
      <c r="E14" s="4">
        <v>9</v>
      </c>
      <c r="F14" s="4">
        <v>4</v>
      </c>
      <c r="G14" s="4" t="str">
        <f t="shared" si="0"/>
        <v>Promote</v>
      </c>
      <c r="H14" s="9">
        <f t="shared" si="1"/>
        <v>0.1</v>
      </c>
    </row>
    <row r="15" spans="1:8" x14ac:dyDescent="0.25">
      <c r="A15" s="8" t="s">
        <v>98</v>
      </c>
      <c r="B15" s="5" t="s">
        <v>99</v>
      </c>
      <c r="C15" s="5" t="s">
        <v>100</v>
      </c>
      <c r="D15" s="4">
        <v>86701</v>
      </c>
      <c r="E15" s="4">
        <v>6</v>
      </c>
      <c r="F15" s="4">
        <v>4</v>
      </c>
      <c r="G15" s="4" t="str">
        <f t="shared" si="0"/>
        <v>Hold on</v>
      </c>
      <c r="H15" s="9">
        <f t="shared" si="1"/>
        <v>0.02</v>
      </c>
    </row>
    <row r="16" spans="1:8" x14ac:dyDescent="0.25">
      <c r="A16" s="8" t="s">
        <v>101</v>
      </c>
      <c r="B16" s="5" t="s">
        <v>102</v>
      </c>
      <c r="C16" s="5" t="s">
        <v>100</v>
      </c>
      <c r="D16" s="4">
        <v>36049</v>
      </c>
      <c r="E16" s="4">
        <v>7</v>
      </c>
      <c r="F16" s="4">
        <v>1</v>
      </c>
      <c r="G16" s="4" t="str">
        <f t="shared" si="0"/>
        <v>Hold on</v>
      </c>
      <c r="H16" s="9">
        <f t="shared" si="1"/>
        <v>0.02</v>
      </c>
    </row>
    <row r="17" spans="1:8" x14ac:dyDescent="0.25">
      <c r="A17" s="8" t="s">
        <v>103</v>
      </c>
      <c r="B17" s="5" t="s">
        <v>104</v>
      </c>
      <c r="C17" s="5" t="s">
        <v>78</v>
      </c>
      <c r="D17" s="4">
        <v>48196</v>
      </c>
      <c r="E17" s="4">
        <v>9</v>
      </c>
      <c r="F17" s="4">
        <v>5</v>
      </c>
      <c r="G17" s="4" t="str">
        <f t="shared" si="0"/>
        <v>Promote</v>
      </c>
      <c r="H17" s="9">
        <f t="shared" si="1"/>
        <v>0.02</v>
      </c>
    </row>
    <row r="18" spans="1:8" x14ac:dyDescent="0.25">
      <c r="A18" s="8" t="s">
        <v>105</v>
      </c>
      <c r="B18" s="5" t="s">
        <v>106</v>
      </c>
      <c r="C18" s="5" t="s">
        <v>100</v>
      </c>
      <c r="D18" s="4">
        <v>89756</v>
      </c>
      <c r="E18" s="4">
        <v>8</v>
      </c>
      <c r="F18" s="4">
        <v>4</v>
      </c>
      <c r="G18" s="4" t="str">
        <f t="shared" si="0"/>
        <v>Promote</v>
      </c>
      <c r="H18" s="9">
        <f t="shared" si="1"/>
        <v>0.1</v>
      </c>
    </row>
    <row r="19" spans="1:8" x14ac:dyDescent="0.25">
      <c r="A19" s="8" t="s">
        <v>107</v>
      </c>
      <c r="B19" s="5" t="s">
        <v>83</v>
      </c>
      <c r="C19" s="5" t="s">
        <v>78</v>
      </c>
      <c r="D19" s="4">
        <v>29158</v>
      </c>
      <c r="E19" s="4">
        <v>6</v>
      </c>
      <c r="F19" s="4">
        <v>4</v>
      </c>
      <c r="G19" s="4" t="str">
        <f t="shared" si="0"/>
        <v>Hold on</v>
      </c>
      <c r="H19" s="9">
        <f t="shared" si="1"/>
        <v>0.02</v>
      </c>
    </row>
    <row r="20" spans="1:8" x14ac:dyDescent="0.25">
      <c r="A20" s="8" t="s">
        <v>108</v>
      </c>
      <c r="B20" s="5" t="s">
        <v>109</v>
      </c>
      <c r="C20" s="5" t="s">
        <v>100</v>
      </c>
      <c r="D20" s="4">
        <v>55908</v>
      </c>
      <c r="E20" s="4">
        <v>12</v>
      </c>
      <c r="F20" s="4">
        <v>4</v>
      </c>
      <c r="G20" s="4" t="str">
        <f t="shared" si="0"/>
        <v>Promote</v>
      </c>
      <c r="H20" s="9">
        <f t="shared" si="1"/>
        <v>0.1</v>
      </c>
    </row>
    <row r="21" spans="1:8" x14ac:dyDescent="0.25">
      <c r="A21" s="8" t="s">
        <v>110</v>
      </c>
      <c r="B21" s="5" t="s">
        <v>111</v>
      </c>
      <c r="C21" s="5" t="s">
        <v>74</v>
      </c>
      <c r="D21" s="4">
        <v>75949</v>
      </c>
      <c r="E21" s="4">
        <v>4</v>
      </c>
      <c r="F21" s="4">
        <v>3</v>
      </c>
      <c r="G21" s="4" t="str">
        <f t="shared" si="0"/>
        <v>Hold on</v>
      </c>
      <c r="H21" s="9">
        <f t="shared" si="1"/>
        <v>0.02</v>
      </c>
    </row>
    <row r="22" spans="1:8" x14ac:dyDescent="0.25">
      <c r="A22" s="8" t="s">
        <v>112</v>
      </c>
      <c r="B22" s="5" t="s">
        <v>113</v>
      </c>
      <c r="C22" s="5" t="s">
        <v>100</v>
      </c>
      <c r="D22" s="4">
        <v>78224</v>
      </c>
      <c r="E22" s="4">
        <v>15</v>
      </c>
      <c r="F22" s="4">
        <v>4</v>
      </c>
      <c r="G22" s="4" t="str">
        <f t="shared" si="0"/>
        <v>Promote</v>
      </c>
      <c r="H22" s="9">
        <f t="shared" si="1"/>
        <v>0.1</v>
      </c>
    </row>
    <row r="23" spans="1:8" x14ac:dyDescent="0.25">
      <c r="A23" s="8" t="s">
        <v>114</v>
      </c>
      <c r="B23" s="5" t="s">
        <v>115</v>
      </c>
      <c r="C23" s="5" t="s">
        <v>78</v>
      </c>
      <c r="D23" s="4">
        <v>37043</v>
      </c>
      <c r="E23" s="4">
        <v>8</v>
      </c>
      <c r="F23" s="4">
        <v>5</v>
      </c>
      <c r="G23" s="4" t="str">
        <f t="shared" si="0"/>
        <v>Promote</v>
      </c>
      <c r="H23" s="9">
        <f t="shared" si="1"/>
        <v>0.02</v>
      </c>
    </row>
    <row r="24" spans="1:8" x14ac:dyDescent="0.25">
      <c r="A24" s="8" t="s">
        <v>116</v>
      </c>
      <c r="B24" s="5" t="s">
        <v>117</v>
      </c>
      <c r="C24" s="5" t="s">
        <v>81</v>
      </c>
      <c r="D24" s="4">
        <v>57932</v>
      </c>
      <c r="E24" s="4">
        <v>9</v>
      </c>
      <c r="F24" s="4">
        <v>2</v>
      </c>
      <c r="G24" s="4" t="str">
        <f t="shared" si="0"/>
        <v>Hold on</v>
      </c>
      <c r="H24" s="9">
        <f t="shared" si="1"/>
        <v>0.02</v>
      </c>
    </row>
    <row r="25" spans="1:8" x14ac:dyDescent="0.25">
      <c r="A25" s="8" t="s">
        <v>118</v>
      </c>
      <c r="B25" s="5" t="s">
        <v>119</v>
      </c>
      <c r="C25" s="5" t="s">
        <v>74</v>
      </c>
      <c r="D25" s="4">
        <v>23458</v>
      </c>
      <c r="E25" s="4">
        <v>1</v>
      </c>
      <c r="F25" s="4">
        <v>5</v>
      </c>
      <c r="G25" s="4" t="str">
        <f t="shared" si="0"/>
        <v>Hold on</v>
      </c>
      <c r="H25" s="9">
        <f t="shared" si="1"/>
        <v>0.02</v>
      </c>
    </row>
    <row r="26" spans="1:8" x14ac:dyDescent="0.25">
      <c r="A26" s="8" t="s">
        <v>120</v>
      </c>
      <c r="B26" s="5" t="s">
        <v>121</v>
      </c>
      <c r="C26" s="5" t="s">
        <v>100</v>
      </c>
      <c r="D26" s="4">
        <v>39105</v>
      </c>
      <c r="E26" s="4">
        <v>6</v>
      </c>
      <c r="F26" s="4">
        <v>4</v>
      </c>
      <c r="G26" s="4" t="str">
        <f t="shared" si="0"/>
        <v>Hold on</v>
      </c>
      <c r="H26" s="9">
        <f t="shared" si="1"/>
        <v>0.02</v>
      </c>
    </row>
    <row r="27" spans="1:8" x14ac:dyDescent="0.25">
      <c r="A27" s="8" t="s">
        <v>122</v>
      </c>
      <c r="B27" s="5" t="s">
        <v>95</v>
      </c>
      <c r="C27" s="5" t="s">
        <v>78</v>
      </c>
      <c r="D27" s="4">
        <v>67474</v>
      </c>
      <c r="E27" s="4">
        <v>8</v>
      </c>
      <c r="F27" s="4">
        <v>2</v>
      </c>
      <c r="G27" s="4" t="str">
        <f t="shared" si="0"/>
        <v>Hold on</v>
      </c>
      <c r="H27" s="9">
        <f t="shared" si="1"/>
        <v>0.02</v>
      </c>
    </row>
    <row r="28" spans="1:8" x14ac:dyDescent="0.25">
      <c r="A28" s="8" t="s">
        <v>123</v>
      </c>
      <c r="B28" s="5" t="s">
        <v>124</v>
      </c>
      <c r="C28" s="5" t="s">
        <v>100</v>
      </c>
      <c r="D28" s="4">
        <v>84090</v>
      </c>
      <c r="E28" s="4">
        <v>3</v>
      </c>
      <c r="F28" s="4">
        <v>5</v>
      </c>
      <c r="G28" s="4" t="str">
        <f t="shared" si="0"/>
        <v>Hold on</v>
      </c>
      <c r="H28" s="9">
        <f t="shared" si="1"/>
        <v>0.02</v>
      </c>
    </row>
    <row r="29" spans="1:8" x14ac:dyDescent="0.25">
      <c r="A29" s="8" t="s">
        <v>125</v>
      </c>
      <c r="B29" s="5" t="s">
        <v>126</v>
      </c>
      <c r="C29" s="5" t="s">
        <v>81</v>
      </c>
      <c r="D29" s="4">
        <v>79115</v>
      </c>
      <c r="E29" s="4">
        <v>5</v>
      </c>
      <c r="F29" s="4">
        <v>2</v>
      </c>
      <c r="G29" s="4" t="str">
        <f t="shared" si="0"/>
        <v>Hold on</v>
      </c>
      <c r="H29" s="9">
        <f t="shared" si="1"/>
        <v>0.02</v>
      </c>
    </row>
    <row r="30" spans="1:8" x14ac:dyDescent="0.25">
      <c r="A30" s="8" t="s">
        <v>127</v>
      </c>
      <c r="B30" s="5" t="s">
        <v>128</v>
      </c>
      <c r="C30" s="5" t="s">
        <v>78</v>
      </c>
      <c r="D30" s="4">
        <v>89322</v>
      </c>
      <c r="E30" s="4">
        <v>2</v>
      </c>
      <c r="F30" s="4">
        <v>3</v>
      </c>
      <c r="G30" s="4" t="str">
        <f t="shared" si="0"/>
        <v>Hold on</v>
      </c>
      <c r="H30" s="9">
        <f t="shared" si="1"/>
        <v>0.02</v>
      </c>
    </row>
    <row r="31" spans="1:8" x14ac:dyDescent="0.25">
      <c r="A31" s="8" t="s">
        <v>129</v>
      </c>
      <c r="B31" s="5" t="s">
        <v>130</v>
      </c>
      <c r="C31" s="5" t="s">
        <v>81</v>
      </c>
      <c r="D31" s="4">
        <v>39938</v>
      </c>
      <c r="E31" s="4">
        <v>2</v>
      </c>
      <c r="F31" s="4">
        <v>3</v>
      </c>
      <c r="G31" s="4" t="str">
        <f t="shared" si="0"/>
        <v>Hold on</v>
      </c>
      <c r="H31" s="9">
        <f t="shared" si="1"/>
        <v>0.02</v>
      </c>
    </row>
    <row r="32" spans="1:8" x14ac:dyDescent="0.25">
      <c r="A32" s="8" t="s">
        <v>131</v>
      </c>
      <c r="B32" s="5" t="s">
        <v>54</v>
      </c>
      <c r="C32" s="5" t="s">
        <v>74</v>
      </c>
      <c r="D32" s="4">
        <v>53201</v>
      </c>
      <c r="E32" s="4">
        <v>14</v>
      </c>
      <c r="F32" s="4">
        <v>3</v>
      </c>
      <c r="G32" s="4" t="str">
        <f t="shared" si="0"/>
        <v>Hold on</v>
      </c>
      <c r="H32" s="9">
        <f t="shared" si="1"/>
        <v>0.05</v>
      </c>
    </row>
    <row r="33" spans="1:8" x14ac:dyDescent="0.25">
      <c r="A33" s="8" t="s">
        <v>132</v>
      </c>
      <c r="B33" s="5" t="s">
        <v>25</v>
      </c>
      <c r="C33" s="5" t="s">
        <v>78</v>
      </c>
      <c r="D33" s="4">
        <v>32121</v>
      </c>
      <c r="E33" s="4">
        <v>8</v>
      </c>
      <c r="F33" s="4">
        <v>2</v>
      </c>
      <c r="G33" s="4" t="str">
        <f t="shared" si="0"/>
        <v>Hold on</v>
      </c>
      <c r="H33" s="9">
        <f t="shared" si="1"/>
        <v>0.02</v>
      </c>
    </row>
    <row r="34" spans="1:8" x14ac:dyDescent="0.25">
      <c r="A34" s="8" t="s">
        <v>133</v>
      </c>
      <c r="B34" s="5" t="s">
        <v>134</v>
      </c>
      <c r="C34" s="5" t="s">
        <v>78</v>
      </c>
      <c r="D34" s="4">
        <v>79254</v>
      </c>
      <c r="E34" s="4">
        <v>7</v>
      </c>
      <c r="F34" s="4">
        <v>2</v>
      </c>
      <c r="G34" s="4" t="str">
        <f t="shared" si="0"/>
        <v>Hold on</v>
      </c>
      <c r="H34" s="9">
        <f t="shared" si="1"/>
        <v>0.02</v>
      </c>
    </row>
    <row r="35" spans="1:8" x14ac:dyDescent="0.25">
      <c r="A35" s="8" t="s">
        <v>135</v>
      </c>
      <c r="B35" s="5" t="s">
        <v>51</v>
      </c>
      <c r="C35" s="5" t="s">
        <v>74</v>
      </c>
      <c r="D35" s="4">
        <v>87365</v>
      </c>
      <c r="E35" s="4">
        <v>5</v>
      </c>
      <c r="F35" s="4">
        <v>1</v>
      </c>
      <c r="G35" s="4" t="str">
        <f t="shared" si="0"/>
        <v>Hold on</v>
      </c>
      <c r="H35" s="9">
        <f t="shared" si="1"/>
        <v>0.02</v>
      </c>
    </row>
    <row r="36" spans="1:8" x14ac:dyDescent="0.25">
      <c r="A36" s="8" t="s">
        <v>136</v>
      </c>
      <c r="B36" s="5" t="s">
        <v>57</v>
      </c>
      <c r="C36" s="5" t="s">
        <v>78</v>
      </c>
      <c r="D36" s="4">
        <v>32963</v>
      </c>
      <c r="E36" s="4">
        <v>13</v>
      </c>
      <c r="F36" s="4">
        <v>2</v>
      </c>
      <c r="G36" s="4" t="str">
        <f t="shared" si="0"/>
        <v>Hold on</v>
      </c>
      <c r="H36" s="9">
        <f t="shared" si="1"/>
        <v>0.02</v>
      </c>
    </row>
    <row r="37" spans="1:8" x14ac:dyDescent="0.25">
      <c r="A37" s="8" t="s">
        <v>137</v>
      </c>
      <c r="B37" s="5" t="s">
        <v>124</v>
      </c>
      <c r="C37" s="5" t="s">
        <v>81</v>
      </c>
      <c r="D37" s="4">
        <v>41240</v>
      </c>
      <c r="E37" s="4">
        <v>4</v>
      </c>
      <c r="F37" s="4">
        <v>4</v>
      </c>
      <c r="G37" s="4" t="str">
        <f t="shared" si="0"/>
        <v>Hold on</v>
      </c>
      <c r="H37" s="9">
        <f t="shared" si="1"/>
        <v>0.02</v>
      </c>
    </row>
    <row r="38" spans="1:8" x14ac:dyDescent="0.25">
      <c r="A38" s="8" t="s">
        <v>138</v>
      </c>
      <c r="B38" s="5" t="s">
        <v>139</v>
      </c>
      <c r="C38" s="5" t="s">
        <v>78</v>
      </c>
      <c r="D38" s="4">
        <v>31469</v>
      </c>
      <c r="E38" s="4">
        <v>1</v>
      </c>
      <c r="F38" s="4">
        <v>2</v>
      </c>
      <c r="G38" s="4" t="str">
        <f t="shared" si="0"/>
        <v>Hold on</v>
      </c>
      <c r="H38" s="9">
        <f t="shared" si="1"/>
        <v>0.02</v>
      </c>
    </row>
    <row r="39" spans="1:8" x14ac:dyDescent="0.25">
      <c r="A39" s="8" t="s">
        <v>140</v>
      </c>
      <c r="B39" s="5" t="s">
        <v>141</v>
      </c>
      <c r="C39" s="5" t="s">
        <v>74</v>
      </c>
      <c r="D39" s="4">
        <v>55496</v>
      </c>
      <c r="E39" s="4">
        <v>13</v>
      </c>
      <c r="F39" s="4">
        <v>4</v>
      </c>
      <c r="G39" s="4" t="str">
        <f t="shared" si="0"/>
        <v>Promote</v>
      </c>
      <c r="H39" s="9">
        <f t="shared" si="1"/>
        <v>0.1</v>
      </c>
    </row>
    <row r="40" spans="1:8" x14ac:dyDescent="0.25">
      <c r="A40" s="8" t="s">
        <v>142</v>
      </c>
      <c r="B40" s="5" t="s">
        <v>143</v>
      </c>
      <c r="C40" s="5" t="s">
        <v>78</v>
      </c>
      <c r="D40" s="4">
        <v>77846</v>
      </c>
      <c r="E40" s="4">
        <v>1</v>
      </c>
      <c r="F40" s="4">
        <v>1</v>
      </c>
      <c r="G40" s="4" t="str">
        <f t="shared" si="0"/>
        <v>Hold on</v>
      </c>
      <c r="H40" s="9">
        <f t="shared" si="1"/>
        <v>0.02</v>
      </c>
    </row>
    <row r="41" spans="1:8" x14ac:dyDescent="0.25">
      <c r="A41" s="8" t="s">
        <v>144</v>
      </c>
      <c r="B41" s="5" t="s">
        <v>145</v>
      </c>
      <c r="C41" s="5" t="s">
        <v>74</v>
      </c>
      <c r="D41" s="4">
        <v>60460</v>
      </c>
      <c r="E41" s="4">
        <v>8</v>
      </c>
      <c r="F41" s="4">
        <v>5</v>
      </c>
      <c r="G41" s="4" t="str">
        <f t="shared" si="0"/>
        <v>Promote</v>
      </c>
      <c r="H41" s="9">
        <f t="shared" si="1"/>
        <v>0.02</v>
      </c>
    </row>
    <row r="42" spans="1:8" x14ac:dyDescent="0.25">
      <c r="A42" s="8" t="s">
        <v>146</v>
      </c>
      <c r="B42" s="5" t="s">
        <v>147</v>
      </c>
      <c r="C42" s="5" t="s">
        <v>81</v>
      </c>
      <c r="D42" s="4">
        <v>51212</v>
      </c>
      <c r="E42" s="4">
        <v>3</v>
      </c>
      <c r="F42" s="4">
        <v>3</v>
      </c>
      <c r="G42" s="4" t="str">
        <f t="shared" si="0"/>
        <v>Hold on</v>
      </c>
      <c r="H42" s="9">
        <f t="shared" si="1"/>
        <v>0.02</v>
      </c>
    </row>
    <row r="43" spans="1:8" x14ac:dyDescent="0.25">
      <c r="A43" s="8" t="s">
        <v>148</v>
      </c>
      <c r="B43" s="5" t="s">
        <v>149</v>
      </c>
      <c r="C43" s="5" t="s">
        <v>81</v>
      </c>
      <c r="D43" s="4">
        <v>73043</v>
      </c>
      <c r="E43" s="4">
        <v>9</v>
      </c>
      <c r="F43" s="4">
        <v>4</v>
      </c>
      <c r="G43" s="4" t="str">
        <f t="shared" si="0"/>
        <v>Promote</v>
      </c>
      <c r="H43" s="9">
        <f t="shared" si="1"/>
        <v>0.1</v>
      </c>
    </row>
    <row r="44" spans="1:8" x14ac:dyDescent="0.25">
      <c r="A44" s="8" t="s">
        <v>150</v>
      </c>
      <c r="B44" s="5" t="s">
        <v>151</v>
      </c>
      <c r="C44" s="5" t="s">
        <v>81</v>
      </c>
      <c r="D44" s="4">
        <v>65765</v>
      </c>
      <c r="E44" s="4">
        <v>15</v>
      </c>
      <c r="F44" s="4">
        <v>3</v>
      </c>
      <c r="G44" s="4" t="str">
        <f t="shared" si="0"/>
        <v>Hold on</v>
      </c>
      <c r="H44" s="9">
        <f t="shared" si="1"/>
        <v>0.05</v>
      </c>
    </row>
    <row r="45" spans="1:8" x14ac:dyDescent="0.25">
      <c r="A45" s="8" t="s">
        <v>152</v>
      </c>
      <c r="B45" s="5" t="s">
        <v>153</v>
      </c>
      <c r="C45" s="5" t="s">
        <v>78</v>
      </c>
      <c r="D45" s="4">
        <v>86794</v>
      </c>
      <c r="E45" s="4">
        <v>15</v>
      </c>
      <c r="F45" s="4">
        <v>5</v>
      </c>
      <c r="G45" s="4" t="str">
        <f t="shared" si="0"/>
        <v>Promote</v>
      </c>
      <c r="H45" s="9">
        <f t="shared" si="1"/>
        <v>0.15</v>
      </c>
    </row>
    <row r="46" spans="1:8" x14ac:dyDescent="0.25">
      <c r="A46" s="8" t="s">
        <v>154</v>
      </c>
      <c r="B46" s="5" t="s">
        <v>155</v>
      </c>
      <c r="C46" s="5" t="s">
        <v>81</v>
      </c>
      <c r="D46" s="4">
        <v>49932</v>
      </c>
      <c r="E46" s="4">
        <v>11</v>
      </c>
      <c r="F46" s="4">
        <v>4</v>
      </c>
      <c r="G46" s="4" t="str">
        <f t="shared" si="0"/>
        <v>Promote</v>
      </c>
      <c r="H46" s="9">
        <f t="shared" si="1"/>
        <v>0.1</v>
      </c>
    </row>
    <row r="47" spans="1:8" x14ac:dyDescent="0.25">
      <c r="A47" s="8" t="s">
        <v>156</v>
      </c>
      <c r="B47" s="5" t="s">
        <v>157</v>
      </c>
      <c r="C47" s="5" t="s">
        <v>81</v>
      </c>
      <c r="D47" s="4">
        <v>33177</v>
      </c>
      <c r="E47" s="4">
        <v>5</v>
      </c>
      <c r="F47" s="4">
        <v>5</v>
      </c>
      <c r="G47" s="4" t="str">
        <f t="shared" si="0"/>
        <v>Hold on</v>
      </c>
      <c r="H47" s="9">
        <f t="shared" si="1"/>
        <v>0.02</v>
      </c>
    </row>
    <row r="48" spans="1:8" x14ac:dyDescent="0.25">
      <c r="A48" s="8" t="s">
        <v>158</v>
      </c>
      <c r="B48" s="5" t="s">
        <v>33</v>
      </c>
      <c r="C48" s="5" t="s">
        <v>78</v>
      </c>
      <c r="D48" s="4">
        <v>65786</v>
      </c>
      <c r="E48" s="4">
        <v>13</v>
      </c>
      <c r="F48" s="4">
        <v>2</v>
      </c>
      <c r="G48" s="4" t="str">
        <f t="shared" si="0"/>
        <v>Hold on</v>
      </c>
      <c r="H48" s="9">
        <f t="shared" si="1"/>
        <v>0.02</v>
      </c>
    </row>
    <row r="49" spans="1:8" x14ac:dyDescent="0.25">
      <c r="A49" s="8" t="s">
        <v>159</v>
      </c>
      <c r="B49" s="5" t="s">
        <v>160</v>
      </c>
      <c r="C49" s="5" t="s">
        <v>78</v>
      </c>
      <c r="D49" s="4">
        <v>32187</v>
      </c>
      <c r="E49" s="4">
        <v>10</v>
      </c>
      <c r="F49" s="4">
        <v>1</v>
      </c>
      <c r="G49" s="4" t="str">
        <f t="shared" si="0"/>
        <v>Hold on</v>
      </c>
      <c r="H49" s="9">
        <f t="shared" si="1"/>
        <v>0.02</v>
      </c>
    </row>
    <row r="50" spans="1:8" x14ac:dyDescent="0.25">
      <c r="A50" s="8" t="s">
        <v>161</v>
      </c>
      <c r="B50" s="5" t="s">
        <v>63</v>
      </c>
      <c r="C50" s="5" t="s">
        <v>100</v>
      </c>
      <c r="D50" s="4">
        <v>56947</v>
      </c>
      <c r="E50" s="4">
        <v>2</v>
      </c>
      <c r="F50" s="4">
        <v>4</v>
      </c>
      <c r="G50" s="4" t="str">
        <f t="shared" si="0"/>
        <v>Hold on</v>
      </c>
      <c r="H50" s="9">
        <f t="shared" si="1"/>
        <v>0.02</v>
      </c>
    </row>
    <row r="51" spans="1:8" x14ac:dyDescent="0.25">
      <c r="A51" s="8" t="s">
        <v>162</v>
      </c>
      <c r="B51" s="5" t="s">
        <v>163</v>
      </c>
      <c r="C51" s="5" t="s">
        <v>78</v>
      </c>
      <c r="D51" s="4">
        <v>29108</v>
      </c>
      <c r="E51" s="4">
        <v>11</v>
      </c>
      <c r="F51" s="4">
        <v>3</v>
      </c>
      <c r="G51" s="4" t="str">
        <f t="shared" si="0"/>
        <v>Hold on</v>
      </c>
      <c r="H51" s="9">
        <f t="shared" si="1"/>
        <v>0.05</v>
      </c>
    </row>
    <row r="52" spans="1:8" x14ac:dyDescent="0.25">
      <c r="A52" s="8" t="s">
        <v>164</v>
      </c>
      <c r="B52" s="5" t="s">
        <v>165</v>
      </c>
      <c r="C52" s="5" t="s">
        <v>74</v>
      </c>
      <c r="D52" s="4">
        <v>83413</v>
      </c>
      <c r="E52" s="4">
        <v>9</v>
      </c>
      <c r="F52" s="4">
        <v>5</v>
      </c>
      <c r="G52" s="4" t="str">
        <f t="shared" si="0"/>
        <v>Promote</v>
      </c>
      <c r="H52" s="9">
        <f t="shared" si="1"/>
        <v>0.02</v>
      </c>
    </row>
    <row r="53" spans="1:8" x14ac:dyDescent="0.25">
      <c r="A53" s="8" t="s">
        <v>166</v>
      </c>
      <c r="B53" s="5" t="s">
        <v>62</v>
      </c>
      <c r="C53" s="5" t="s">
        <v>78</v>
      </c>
      <c r="D53" s="4">
        <v>82066</v>
      </c>
      <c r="E53" s="4">
        <v>15</v>
      </c>
      <c r="F53" s="4">
        <v>1</v>
      </c>
      <c r="G53" s="4" t="str">
        <f t="shared" si="0"/>
        <v>Hold on</v>
      </c>
      <c r="H53" s="9">
        <f t="shared" si="1"/>
        <v>0.02</v>
      </c>
    </row>
    <row r="54" spans="1:8" x14ac:dyDescent="0.25">
      <c r="A54" s="8" t="s">
        <v>167</v>
      </c>
      <c r="B54" s="5" t="s">
        <v>168</v>
      </c>
      <c r="C54" s="5" t="s">
        <v>100</v>
      </c>
      <c r="D54" s="4">
        <v>45289</v>
      </c>
      <c r="E54" s="4">
        <v>1</v>
      </c>
      <c r="F54" s="4">
        <v>4</v>
      </c>
      <c r="G54" s="4" t="str">
        <f t="shared" si="0"/>
        <v>Hold on</v>
      </c>
      <c r="H54" s="9">
        <f t="shared" si="1"/>
        <v>0.02</v>
      </c>
    </row>
    <row r="55" spans="1:8" x14ac:dyDescent="0.25">
      <c r="A55" s="8" t="s">
        <v>169</v>
      </c>
      <c r="B55" s="5" t="s">
        <v>170</v>
      </c>
      <c r="C55" s="5" t="s">
        <v>81</v>
      </c>
      <c r="D55" s="4">
        <v>63619</v>
      </c>
      <c r="E55" s="4">
        <v>2</v>
      </c>
      <c r="F55" s="4">
        <v>1</v>
      </c>
      <c r="G55" s="4" t="str">
        <f t="shared" si="0"/>
        <v>Hold on</v>
      </c>
      <c r="H55" s="9">
        <f t="shared" si="1"/>
        <v>0.02</v>
      </c>
    </row>
    <row r="56" spans="1:8" x14ac:dyDescent="0.25">
      <c r="A56" s="8" t="s">
        <v>171</v>
      </c>
      <c r="B56" s="5" t="s">
        <v>172</v>
      </c>
      <c r="C56" s="5" t="s">
        <v>78</v>
      </c>
      <c r="D56" s="4">
        <v>73403</v>
      </c>
      <c r="E56" s="4">
        <v>3</v>
      </c>
      <c r="F56" s="4">
        <v>1</v>
      </c>
      <c r="G56" s="4" t="str">
        <f t="shared" si="0"/>
        <v>Hold on</v>
      </c>
      <c r="H56" s="9">
        <f t="shared" si="1"/>
        <v>0.02</v>
      </c>
    </row>
    <row r="57" spans="1:8" x14ac:dyDescent="0.25">
      <c r="A57" s="8" t="s">
        <v>173</v>
      </c>
      <c r="B57" s="5" t="s">
        <v>174</v>
      </c>
      <c r="C57" s="5" t="s">
        <v>78</v>
      </c>
      <c r="D57" s="4">
        <v>31407</v>
      </c>
      <c r="E57" s="4">
        <v>14</v>
      </c>
      <c r="F57" s="4">
        <v>1</v>
      </c>
      <c r="G57" s="4" t="str">
        <f t="shared" si="0"/>
        <v>Hold on</v>
      </c>
      <c r="H57" s="9">
        <f t="shared" si="1"/>
        <v>0.02</v>
      </c>
    </row>
    <row r="58" spans="1:8" x14ac:dyDescent="0.25">
      <c r="A58" s="8" t="s">
        <v>175</v>
      </c>
      <c r="B58" s="5" t="s">
        <v>20</v>
      </c>
      <c r="C58" s="5" t="s">
        <v>78</v>
      </c>
      <c r="D58" s="4">
        <v>30431</v>
      </c>
      <c r="E58" s="4">
        <v>13</v>
      </c>
      <c r="F58" s="4">
        <v>2</v>
      </c>
      <c r="G58" s="4" t="str">
        <f t="shared" si="0"/>
        <v>Hold on</v>
      </c>
      <c r="H58" s="9">
        <f t="shared" si="1"/>
        <v>0.02</v>
      </c>
    </row>
    <row r="59" spans="1:8" x14ac:dyDescent="0.25">
      <c r="A59" s="8" t="s">
        <v>176</v>
      </c>
      <c r="B59" s="5" t="s">
        <v>177</v>
      </c>
      <c r="C59" s="5" t="s">
        <v>74</v>
      </c>
      <c r="D59" s="4">
        <v>58077</v>
      </c>
      <c r="E59" s="4">
        <v>11</v>
      </c>
      <c r="F59" s="4">
        <v>4</v>
      </c>
      <c r="G59" s="4" t="str">
        <f t="shared" si="0"/>
        <v>Promote</v>
      </c>
      <c r="H59" s="9">
        <f t="shared" si="1"/>
        <v>0.1</v>
      </c>
    </row>
    <row r="60" spans="1:8" x14ac:dyDescent="0.25">
      <c r="A60" s="8" t="s">
        <v>178</v>
      </c>
      <c r="B60" s="5" t="s">
        <v>20</v>
      </c>
      <c r="C60" s="5" t="s">
        <v>81</v>
      </c>
      <c r="D60" s="4">
        <v>33961</v>
      </c>
      <c r="E60" s="4">
        <v>11</v>
      </c>
      <c r="F60" s="4">
        <v>4</v>
      </c>
      <c r="G60" s="4" t="str">
        <f t="shared" si="0"/>
        <v>Promote</v>
      </c>
      <c r="H60" s="9">
        <f t="shared" si="1"/>
        <v>0.1</v>
      </c>
    </row>
    <row r="61" spans="1:8" x14ac:dyDescent="0.25">
      <c r="A61" s="10" t="s">
        <v>179</v>
      </c>
      <c r="B61" s="11" t="s">
        <v>180</v>
      </c>
      <c r="C61" s="11" t="s">
        <v>78</v>
      </c>
      <c r="D61" s="12">
        <v>65748</v>
      </c>
      <c r="E61" s="12">
        <v>4</v>
      </c>
      <c r="F61" s="12">
        <v>5</v>
      </c>
      <c r="G61" s="12" t="str">
        <f t="shared" si="0"/>
        <v>Hold on</v>
      </c>
      <c r="H61" s="13">
        <f t="shared" si="1"/>
        <v>0.02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"/>
  <sheetViews>
    <sheetView workbookViewId="0">
      <selection activeCell="G6" sqref="G6"/>
    </sheetView>
  </sheetViews>
  <sheetFormatPr defaultRowHeight="15" x14ac:dyDescent="0.25"/>
  <cols>
    <col min="1" max="1" width="9.5703125" style="3" customWidth="1"/>
    <col min="2" max="2" width="14.140625" bestFit="1" customWidth="1"/>
    <col min="3" max="3" width="9.28515625" customWidth="1"/>
    <col min="5" max="5" width="9.140625" style="3"/>
    <col min="6" max="6" width="11.42578125" style="3" customWidth="1"/>
    <col min="7" max="7" width="11" style="3" customWidth="1"/>
    <col min="8" max="8" width="12.42578125" style="2" bestFit="1" customWidth="1"/>
    <col min="9" max="9" width="22.5703125" style="1" customWidth="1"/>
  </cols>
  <sheetData>
    <row r="1" spans="1:9" x14ac:dyDescent="0.25">
      <c r="A1" s="6" t="s">
        <v>181</v>
      </c>
      <c r="B1" s="7" t="s">
        <v>182</v>
      </c>
      <c r="C1" s="7" t="s">
        <v>183</v>
      </c>
      <c r="D1" s="7" t="s">
        <v>184</v>
      </c>
      <c r="E1" s="7" t="s">
        <v>185</v>
      </c>
      <c r="F1" s="7" t="s">
        <v>186</v>
      </c>
      <c r="G1" s="7" t="s">
        <v>187</v>
      </c>
      <c r="H1" s="14" t="s">
        <v>321</v>
      </c>
      <c r="I1" s="15" t="s">
        <v>323</v>
      </c>
    </row>
    <row r="2" spans="1:9" x14ac:dyDescent="0.25">
      <c r="A2" s="8">
        <v>1</v>
      </c>
      <c r="B2" s="5" t="s">
        <v>60</v>
      </c>
      <c r="C2" s="5" t="s">
        <v>188</v>
      </c>
      <c r="D2" s="5" t="s">
        <v>189</v>
      </c>
      <c r="E2" s="4">
        <v>34</v>
      </c>
      <c r="F2" s="4">
        <v>1902</v>
      </c>
      <c r="G2" s="4">
        <f>E2*F2</f>
        <v>64668</v>
      </c>
      <c r="H2" s="16">
        <f>IF(G2&gt;100000, 20%, IF(G2&gt;75000, 15%, IF(G2&gt;50000, 10%, IF(G2&gt;25000, 5%, 2%))))</f>
        <v>0.1</v>
      </c>
      <c r="I2" s="17">
        <f>IF(G2&gt;100000,G2-G2*20%,IF(G2&gt;75000,G2-G2*15%,IF(G2&gt;50000,G2-G2*10%,IF(G2&gt;25000,G2-G2*5%,G2-G2*2%))))</f>
        <v>58201.2</v>
      </c>
    </row>
    <row r="3" spans="1:9" x14ac:dyDescent="0.25">
      <c r="A3" s="8">
        <v>2</v>
      </c>
      <c r="B3" s="5" t="s">
        <v>77</v>
      </c>
      <c r="C3" s="5" t="s">
        <v>190</v>
      </c>
      <c r="D3" s="5" t="s">
        <v>191</v>
      </c>
      <c r="E3" s="4">
        <v>25</v>
      </c>
      <c r="F3" s="4">
        <v>368</v>
      </c>
      <c r="G3" s="4">
        <f t="shared" ref="G3:G61" si="0">E3*F3</f>
        <v>9200</v>
      </c>
      <c r="H3" s="16">
        <f t="shared" ref="H3:H61" si="1">IF(G3&gt;100000, 20%, IF(G3&gt;75000, 15%, IF(G3&gt;50000, 10%, IF(G3&gt;25000, 5%, 2%))))</f>
        <v>0.02</v>
      </c>
      <c r="I3" s="17">
        <f t="shared" ref="I3:I61" si="2">IF(G3&gt;100000,G3-G3*20%,IF(G3&gt;75000,G3-G3*15%,IF(G3&gt;50000,G3-G3*10%,IF(G3&gt;25000,G3-G3*5%,G3-G3*2%))))</f>
        <v>9016</v>
      </c>
    </row>
    <row r="4" spans="1:9" x14ac:dyDescent="0.25">
      <c r="A4" s="8">
        <v>3</v>
      </c>
      <c r="B4" s="5" t="s">
        <v>192</v>
      </c>
      <c r="C4" s="5" t="s">
        <v>190</v>
      </c>
      <c r="D4" s="5" t="s">
        <v>193</v>
      </c>
      <c r="E4" s="4">
        <v>74</v>
      </c>
      <c r="F4" s="4">
        <v>883</v>
      </c>
      <c r="G4" s="4">
        <f t="shared" si="0"/>
        <v>65342</v>
      </c>
      <c r="H4" s="16">
        <f t="shared" si="1"/>
        <v>0.1</v>
      </c>
      <c r="I4" s="17">
        <f t="shared" si="2"/>
        <v>58807.8</v>
      </c>
    </row>
    <row r="5" spans="1:9" x14ac:dyDescent="0.25">
      <c r="A5" s="8">
        <v>4</v>
      </c>
      <c r="B5" s="5" t="s">
        <v>91</v>
      </c>
      <c r="C5" s="5" t="s">
        <v>190</v>
      </c>
      <c r="D5" s="5" t="s">
        <v>191</v>
      </c>
      <c r="E5" s="4">
        <v>96</v>
      </c>
      <c r="F5" s="4">
        <v>1557</v>
      </c>
      <c r="G5" s="4">
        <f t="shared" si="0"/>
        <v>149472</v>
      </c>
      <c r="H5" s="16">
        <f t="shared" si="1"/>
        <v>0.2</v>
      </c>
      <c r="I5" s="17">
        <f t="shared" si="2"/>
        <v>119577.60000000001</v>
      </c>
    </row>
    <row r="6" spans="1:9" x14ac:dyDescent="0.25">
      <c r="A6" s="8">
        <v>5</v>
      </c>
      <c r="B6" s="5" t="s">
        <v>113</v>
      </c>
      <c r="C6" s="5" t="s">
        <v>194</v>
      </c>
      <c r="D6" s="5" t="s">
        <v>193</v>
      </c>
      <c r="E6" s="4">
        <v>18</v>
      </c>
      <c r="F6" s="4">
        <v>1817</v>
      </c>
      <c r="G6" s="4">
        <f t="shared" si="0"/>
        <v>32706</v>
      </c>
      <c r="H6" s="16">
        <f t="shared" si="1"/>
        <v>0.05</v>
      </c>
      <c r="I6" s="17">
        <f t="shared" si="2"/>
        <v>31070.7</v>
      </c>
    </row>
    <row r="7" spans="1:9" x14ac:dyDescent="0.25">
      <c r="A7" s="8">
        <v>6</v>
      </c>
      <c r="B7" s="5" t="s">
        <v>42</v>
      </c>
      <c r="C7" s="5" t="s">
        <v>190</v>
      </c>
      <c r="D7" s="5" t="s">
        <v>195</v>
      </c>
      <c r="E7" s="4">
        <v>46</v>
      </c>
      <c r="F7" s="4">
        <v>1301</v>
      </c>
      <c r="G7" s="4">
        <f t="shared" si="0"/>
        <v>59846</v>
      </c>
      <c r="H7" s="16">
        <f t="shared" si="1"/>
        <v>0.1</v>
      </c>
      <c r="I7" s="17">
        <f t="shared" si="2"/>
        <v>53861.4</v>
      </c>
    </row>
    <row r="8" spans="1:9" x14ac:dyDescent="0.25">
      <c r="A8" s="8">
        <v>7</v>
      </c>
      <c r="B8" s="5" t="s">
        <v>196</v>
      </c>
      <c r="C8" s="5" t="s">
        <v>190</v>
      </c>
      <c r="D8" s="5" t="s">
        <v>189</v>
      </c>
      <c r="E8" s="4">
        <v>87</v>
      </c>
      <c r="F8" s="4">
        <v>742</v>
      </c>
      <c r="G8" s="4">
        <f t="shared" si="0"/>
        <v>64554</v>
      </c>
      <c r="H8" s="16">
        <f t="shared" si="1"/>
        <v>0.1</v>
      </c>
      <c r="I8" s="17">
        <f t="shared" si="2"/>
        <v>58098.6</v>
      </c>
    </row>
    <row r="9" spans="1:9" x14ac:dyDescent="0.25">
      <c r="A9" s="8">
        <v>8</v>
      </c>
      <c r="B9" s="5" t="s">
        <v>80</v>
      </c>
      <c r="C9" s="5" t="s">
        <v>188</v>
      </c>
      <c r="D9" s="5" t="s">
        <v>193</v>
      </c>
      <c r="E9" s="4">
        <v>42</v>
      </c>
      <c r="F9" s="4">
        <v>454</v>
      </c>
      <c r="G9" s="4">
        <f t="shared" si="0"/>
        <v>19068</v>
      </c>
      <c r="H9" s="16">
        <f t="shared" si="1"/>
        <v>0.02</v>
      </c>
      <c r="I9" s="17">
        <f t="shared" si="2"/>
        <v>18686.64</v>
      </c>
    </row>
    <row r="10" spans="1:9" x14ac:dyDescent="0.25">
      <c r="A10" s="8">
        <v>9</v>
      </c>
      <c r="B10" s="5" t="s">
        <v>197</v>
      </c>
      <c r="C10" s="5" t="s">
        <v>188</v>
      </c>
      <c r="D10" s="5" t="s">
        <v>198</v>
      </c>
      <c r="E10" s="4">
        <v>44</v>
      </c>
      <c r="F10" s="4">
        <v>983</v>
      </c>
      <c r="G10" s="4">
        <f t="shared" si="0"/>
        <v>43252</v>
      </c>
      <c r="H10" s="16">
        <f t="shared" si="1"/>
        <v>0.05</v>
      </c>
      <c r="I10" s="17">
        <f t="shared" si="2"/>
        <v>41089.4</v>
      </c>
    </row>
    <row r="11" spans="1:9" x14ac:dyDescent="0.25">
      <c r="A11" s="8">
        <v>10</v>
      </c>
      <c r="B11" s="5" t="s">
        <v>199</v>
      </c>
      <c r="C11" s="5" t="s">
        <v>188</v>
      </c>
      <c r="D11" s="5" t="s">
        <v>191</v>
      </c>
      <c r="E11" s="4">
        <v>78</v>
      </c>
      <c r="F11" s="4">
        <v>1991</v>
      </c>
      <c r="G11" s="4">
        <f t="shared" si="0"/>
        <v>155298</v>
      </c>
      <c r="H11" s="16">
        <f t="shared" si="1"/>
        <v>0.2</v>
      </c>
      <c r="I11" s="17">
        <f t="shared" si="2"/>
        <v>124238.39999999999</v>
      </c>
    </row>
    <row r="12" spans="1:9" x14ac:dyDescent="0.25">
      <c r="A12" s="8">
        <v>11</v>
      </c>
      <c r="B12" s="5" t="s">
        <v>200</v>
      </c>
      <c r="C12" s="5" t="s">
        <v>190</v>
      </c>
      <c r="D12" s="5" t="s">
        <v>201</v>
      </c>
      <c r="E12" s="4">
        <v>42</v>
      </c>
      <c r="F12" s="4">
        <v>1626</v>
      </c>
      <c r="G12" s="4">
        <f t="shared" si="0"/>
        <v>68292</v>
      </c>
      <c r="H12" s="16">
        <f t="shared" si="1"/>
        <v>0.1</v>
      </c>
      <c r="I12" s="17">
        <f t="shared" si="2"/>
        <v>61462.8</v>
      </c>
    </row>
    <row r="13" spans="1:9" x14ac:dyDescent="0.25">
      <c r="A13" s="8">
        <v>12</v>
      </c>
      <c r="B13" s="5" t="s">
        <v>202</v>
      </c>
      <c r="C13" s="5" t="s">
        <v>203</v>
      </c>
      <c r="D13" s="5" t="s">
        <v>195</v>
      </c>
      <c r="E13" s="4">
        <v>76</v>
      </c>
      <c r="F13" s="4">
        <v>660</v>
      </c>
      <c r="G13" s="4">
        <f t="shared" si="0"/>
        <v>50160</v>
      </c>
      <c r="H13" s="16">
        <f t="shared" si="1"/>
        <v>0.1</v>
      </c>
      <c r="I13" s="17">
        <f t="shared" si="2"/>
        <v>45144</v>
      </c>
    </row>
    <row r="14" spans="1:9" x14ac:dyDescent="0.25">
      <c r="A14" s="8">
        <v>13</v>
      </c>
      <c r="B14" s="5" t="s">
        <v>204</v>
      </c>
      <c r="C14" s="5" t="s">
        <v>203</v>
      </c>
      <c r="D14" s="5" t="s">
        <v>201</v>
      </c>
      <c r="E14" s="4">
        <v>39</v>
      </c>
      <c r="F14" s="4">
        <v>370</v>
      </c>
      <c r="G14" s="4">
        <f t="shared" si="0"/>
        <v>14430</v>
      </c>
      <c r="H14" s="16">
        <f t="shared" si="1"/>
        <v>0.02</v>
      </c>
      <c r="I14" s="17">
        <f t="shared" si="2"/>
        <v>14141.4</v>
      </c>
    </row>
    <row r="15" spans="1:9" x14ac:dyDescent="0.25">
      <c r="A15" s="8">
        <v>14</v>
      </c>
      <c r="B15" s="5" t="s">
        <v>126</v>
      </c>
      <c r="C15" s="5" t="s">
        <v>203</v>
      </c>
      <c r="D15" s="5" t="s">
        <v>195</v>
      </c>
      <c r="E15" s="4">
        <v>88</v>
      </c>
      <c r="F15" s="4">
        <v>1466</v>
      </c>
      <c r="G15" s="4">
        <f t="shared" si="0"/>
        <v>129008</v>
      </c>
      <c r="H15" s="16">
        <f t="shared" si="1"/>
        <v>0.2</v>
      </c>
      <c r="I15" s="17">
        <f t="shared" si="2"/>
        <v>103206.39999999999</v>
      </c>
    </row>
    <row r="16" spans="1:9" x14ac:dyDescent="0.25">
      <c r="A16" s="8">
        <v>15</v>
      </c>
      <c r="B16" s="5" t="s">
        <v>205</v>
      </c>
      <c r="C16" s="5" t="s">
        <v>190</v>
      </c>
      <c r="D16" s="5" t="s">
        <v>198</v>
      </c>
      <c r="E16" s="4">
        <v>73</v>
      </c>
      <c r="F16" s="4">
        <v>1293</v>
      </c>
      <c r="G16" s="4">
        <f t="shared" si="0"/>
        <v>94389</v>
      </c>
      <c r="H16" s="16">
        <f t="shared" si="1"/>
        <v>0.15</v>
      </c>
      <c r="I16" s="17">
        <f t="shared" si="2"/>
        <v>80230.649999999994</v>
      </c>
    </row>
    <row r="17" spans="1:9" x14ac:dyDescent="0.25">
      <c r="A17" s="8">
        <v>16</v>
      </c>
      <c r="B17" s="5" t="s">
        <v>109</v>
      </c>
      <c r="C17" s="5" t="s">
        <v>194</v>
      </c>
      <c r="D17" s="5" t="s">
        <v>193</v>
      </c>
      <c r="E17" s="4">
        <v>99</v>
      </c>
      <c r="F17" s="4">
        <v>1688</v>
      </c>
      <c r="G17" s="4">
        <f t="shared" si="0"/>
        <v>167112</v>
      </c>
      <c r="H17" s="16">
        <f t="shared" si="1"/>
        <v>0.2</v>
      </c>
      <c r="I17" s="17">
        <f t="shared" si="2"/>
        <v>133689.60000000001</v>
      </c>
    </row>
    <row r="18" spans="1:9" x14ac:dyDescent="0.25">
      <c r="A18" s="8">
        <v>17</v>
      </c>
      <c r="B18" s="5" t="s">
        <v>196</v>
      </c>
      <c r="C18" s="5" t="s">
        <v>190</v>
      </c>
      <c r="D18" s="5" t="s">
        <v>189</v>
      </c>
      <c r="E18" s="4">
        <v>77</v>
      </c>
      <c r="F18" s="4">
        <v>1096</v>
      </c>
      <c r="G18" s="4">
        <f t="shared" si="0"/>
        <v>84392</v>
      </c>
      <c r="H18" s="16">
        <f t="shared" si="1"/>
        <v>0.15</v>
      </c>
      <c r="I18" s="17">
        <f t="shared" si="2"/>
        <v>71733.2</v>
      </c>
    </row>
    <row r="19" spans="1:9" x14ac:dyDescent="0.25">
      <c r="A19" s="8">
        <v>18</v>
      </c>
      <c r="B19" s="5" t="s">
        <v>206</v>
      </c>
      <c r="C19" s="5" t="s">
        <v>188</v>
      </c>
      <c r="D19" s="5" t="s">
        <v>198</v>
      </c>
      <c r="E19" s="4">
        <v>65</v>
      </c>
      <c r="F19" s="4">
        <v>1139</v>
      </c>
      <c r="G19" s="4">
        <f t="shared" si="0"/>
        <v>74035</v>
      </c>
      <c r="H19" s="16">
        <f t="shared" si="1"/>
        <v>0.1</v>
      </c>
      <c r="I19" s="17">
        <f t="shared" si="2"/>
        <v>66631.5</v>
      </c>
    </row>
    <row r="20" spans="1:9" x14ac:dyDescent="0.25">
      <c r="A20" s="8">
        <v>19</v>
      </c>
      <c r="B20" s="5" t="s">
        <v>40</v>
      </c>
      <c r="C20" s="5" t="s">
        <v>203</v>
      </c>
      <c r="D20" s="5" t="s">
        <v>193</v>
      </c>
      <c r="E20" s="4">
        <v>73</v>
      </c>
      <c r="F20" s="4">
        <v>799</v>
      </c>
      <c r="G20" s="4">
        <f t="shared" si="0"/>
        <v>58327</v>
      </c>
      <c r="H20" s="16">
        <f t="shared" si="1"/>
        <v>0.1</v>
      </c>
      <c r="I20" s="17">
        <f t="shared" si="2"/>
        <v>52494.3</v>
      </c>
    </row>
    <row r="21" spans="1:9" x14ac:dyDescent="0.25">
      <c r="A21" s="8">
        <v>20</v>
      </c>
      <c r="B21" s="5" t="s">
        <v>160</v>
      </c>
      <c r="C21" s="5" t="s">
        <v>194</v>
      </c>
      <c r="D21" s="5" t="s">
        <v>195</v>
      </c>
      <c r="E21" s="4">
        <v>74</v>
      </c>
      <c r="F21" s="4">
        <v>1813</v>
      </c>
      <c r="G21" s="4">
        <f t="shared" si="0"/>
        <v>134162</v>
      </c>
      <c r="H21" s="16">
        <f t="shared" si="1"/>
        <v>0.2</v>
      </c>
      <c r="I21" s="17">
        <f t="shared" si="2"/>
        <v>107329.60000000001</v>
      </c>
    </row>
    <row r="22" spans="1:9" x14ac:dyDescent="0.25">
      <c r="A22" s="8">
        <v>21</v>
      </c>
      <c r="B22" s="5" t="s">
        <v>207</v>
      </c>
      <c r="C22" s="5" t="s">
        <v>203</v>
      </c>
      <c r="D22" s="5" t="s">
        <v>198</v>
      </c>
      <c r="E22" s="4">
        <v>34</v>
      </c>
      <c r="F22" s="4">
        <v>1866</v>
      </c>
      <c r="G22" s="4">
        <f t="shared" si="0"/>
        <v>63444</v>
      </c>
      <c r="H22" s="16">
        <f t="shared" si="1"/>
        <v>0.1</v>
      </c>
      <c r="I22" s="17">
        <f t="shared" si="2"/>
        <v>57099.6</v>
      </c>
    </row>
    <row r="23" spans="1:9" x14ac:dyDescent="0.25">
      <c r="A23" s="8">
        <v>22</v>
      </c>
      <c r="B23" s="5" t="s">
        <v>37</v>
      </c>
      <c r="C23" s="5" t="s">
        <v>203</v>
      </c>
      <c r="D23" s="5" t="s">
        <v>191</v>
      </c>
      <c r="E23" s="4">
        <v>47</v>
      </c>
      <c r="F23" s="4">
        <v>772</v>
      </c>
      <c r="G23" s="4">
        <f t="shared" si="0"/>
        <v>36284</v>
      </c>
      <c r="H23" s="16">
        <f t="shared" si="1"/>
        <v>0.05</v>
      </c>
      <c r="I23" s="17">
        <f t="shared" si="2"/>
        <v>34469.800000000003</v>
      </c>
    </row>
    <row r="24" spans="1:9" x14ac:dyDescent="0.25">
      <c r="A24" s="8">
        <v>23</v>
      </c>
      <c r="B24" s="5" t="s">
        <v>208</v>
      </c>
      <c r="C24" s="5" t="s">
        <v>188</v>
      </c>
      <c r="D24" s="5" t="s">
        <v>193</v>
      </c>
      <c r="E24" s="4">
        <v>48</v>
      </c>
      <c r="F24" s="4">
        <v>1689</v>
      </c>
      <c r="G24" s="4">
        <f t="shared" si="0"/>
        <v>81072</v>
      </c>
      <c r="H24" s="16">
        <f t="shared" si="1"/>
        <v>0.15</v>
      </c>
      <c r="I24" s="17">
        <f t="shared" si="2"/>
        <v>68911.199999999997</v>
      </c>
    </row>
    <row r="25" spans="1:9" x14ac:dyDescent="0.25">
      <c r="A25" s="8">
        <v>24</v>
      </c>
      <c r="B25" s="5" t="s">
        <v>209</v>
      </c>
      <c r="C25" s="5" t="s">
        <v>194</v>
      </c>
      <c r="D25" s="5" t="s">
        <v>195</v>
      </c>
      <c r="E25" s="4">
        <v>10</v>
      </c>
      <c r="F25" s="4">
        <v>859</v>
      </c>
      <c r="G25" s="4">
        <f t="shared" si="0"/>
        <v>8590</v>
      </c>
      <c r="H25" s="16">
        <f t="shared" si="1"/>
        <v>0.02</v>
      </c>
      <c r="I25" s="17">
        <f t="shared" si="2"/>
        <v>8418.2000000000007</v>
      </c>
    </row>
    <row r="26" spans="1:9" x14ac:dyDescent="0.25">
      <c r="A26" s="8">
        <v>25</v>
      </c>
      <c r="B26" s="5" t="s">
        <v>210</v>
      </c>
      <c r="C26" s="5" t="s">
        <v>194</v>
      </c>
      <c r="D26" s="5" t="s">
        <v>189</v>
      </c>
      <c r="E26" s="4">
        <v>78</v>
      </c>
      <c r="F26" s="4">
        <v>1880</v>
      </c>
      <c r="G26" s="4">
        <f t="shared" si="0"/>
        <v>146640</v>
      </c>
      <c r="H26" s="16">
        <f t="shared" si="1"/>
        <v>0.2</v>
      </c>
      <c r="I26" s="17">
        <f t="shared" si="2"/>
        <v>117312</v>
      </c>
    </row>
    <row r="27" spans="1:9" x14ac:dyDescent="0.25">
      <c r="A27" s="8">
        <v>26</v>
      </c>
      <c r="B27" s="5" t="s">
        <v>211</v>
      </c>
      <c r="C27" s="5" t="s">
        <v>194</v>
      </c>
      <c r="D27" s="5" t="s">
        <v>201</v>
      </c>
      <c r="E27" s="4">
        <v>72</v>
      </c>
      <c r="F27" s="4">
        <v>1184</v>
      </c>
      <c r="G27" s="4">
        <f t="shared" si="0"/>
        <v>85248</v>
      </c>
      <c r="H27" s="16">
        <f t="shared" si="1"/>
        <v>0.15</v>
      </c>
      <c r="I27" s="17">
        <f t="shared" si="2"/>
        <v>72460.800000000003</v>
      </c>
    </row>
    <row r="28" spans="1:9" x14ac:dyDescent="0.25">
      <c r="A28" s="8">
        <v>27</v>
      </c>
      <c r="B28" s="5" t="s">
        <v>54</v>
      </c>
      <c r="C28" s="5" t="s">
        <v>203</v>
      </c>
      <c r="D28" s="5" t="s">
        <v>201</v>
      </c>
      <c r="E28" s="4">
        <v>49</v>
      </c>
      <c r="F28" s="4">
        <v>1978</v>
      </c>
      <c r="G28" s="4">
        <f t="shared" si="0"/>
        <v>96922</v>
      </c>
      <c r="H28" s="16">
        <f t="shared" si="1"/>
        <v>0.15</v>
      </c>
      <c r="I28" s="17">
        <f t="shared" si="2"/>
        <v>82383.7</v>
      </c>
    </row>
    <row r="29" spans="1:9" x14ac:dyDescent="0.25">
      <c r="A29" s="8">
        <v>28</v>
      </c>
      <c r="B29" s="5" t="s">
        <v>212</v>
      </c>
      <c r="C29" s="5" t="s">
        <v>203</v>
      </c>
      <c r="D29" s="5" t="s">
        <v>198</v>
      </c>
      <c r="E29" s="4">
        <v>14</v>
      </c>
      <c r="F29" s="4">
        <v>133</v>
      </c>
      <c r="G29" s="4">
        <f t="shared" si="0"/>
        <v>1862</v>
      </c>
      <c r="H29" s="16">
        <f t="shared" si="1"/>
        <v>0.02</v>
      </c>
      <c r="I29" s="17">
        <f t="shared" si="2"/>
        <v>1824.76</v>
      </c>
    </row>
    <row r="30" spans="1:9" x14ac:dyDescent="0.25">
      <c r="A30" s="8">
        <v>29</v>
      </c>
      <c r="B30" s="5" t="s">
        <v>51</v>
      </c>
      <c r="C30" s="5" t="s">
        <v>203</v>
      </c>
      <c r="D30" s="5" t="s">
        <v>189</v>
      </c>
      <c r="E30" s="4">
        <v>47</v>
      </c>
      <c r="F30" s="4">
        <v>840</v>
      </c>
      <c r="G30" s="4">
        <f t="shared" si="0"/>
        <v>39480</v>
      </c>
      <c r="H30" s="16">
        <f t="shared" si="1"/>
        <v>0.05</v>
      </c>
      <c r="I30" s="17">
        <f t="shared" si="2"/>
        <v>37506</v>
      </c>
    </row>
    <row r="31" spans="1:9" x14ac:dyDescent="0.25">
      <c r="A31" s="8">
        <v>30</v>
      </c>
      <c r="B31" s="5" t="s">
        <v>213</v>
      </c>
      <c r="C31" s="5" t="s">
        <v>188</v>
      </c>
      <c r="D31" s="5" t="s">
        <v>195</v>
      </c>
      <c r="E31" s="4">
        <v>12</v>
      </c>
      <c r="F31" s="4">
        <v>162</v>
      </c>
      <c r="G31" s="4">
        <f t="shared" si="0"/>
        <v>1944</v>
      </c>
      <c r="H31" s="16">
        <f t="shared" si="1"/>
        <v>0.02</v>
      </c>
      <c r="I31" s="17">
        <f t="shared" si="2"/>
        <v>1905.12</v>
      </c>
    </row>
    <row r="32" spans="1:9" x14ac:dyDescent="0.25">
      <c r="A32" s="8">
        <v>31</v>
      </c>
      <c r="B32" s="5" t="s">
        <v>214</v>
      </c>
      <c r="C32" s="5" t="s">
        <v>190</v>
      </c>
      <c r="D32" s="5" t="s">
        <v>189</v>
      </c>
      <c r="E32" s="4">
        <v>53</v>
      </c>
      <c r="F32" s="4">
        <v>1897</v>
      </c>
      <c r="G32" s="4">
        <f t="shared" si="0"/>
        <v>100541</v>
      </c>
      <c r="H32" s="16">
        <f t="shared" si="1"/>
        <v>0.2</v>
      </c>
      <c r="I32" s="17">
        <f t="shared" si="2"/>
        <v>80432.800000000003</v>
      </c>
    </row>
    <row r="33" spans="1:9" x14ac:dyDescent="0.25">
      <c r="A33" s="8">
        <v>32</v>
      </c>
      <c r="B33" s="5" t="s">
        <v>202</v>
      </c>
      <c r="C33" s="5" t="s">
        <v>203</v>
      </c>
      <c r="D33" s="5" t="s">
        <v>193</v>
      </c>
      <c r="E33" s="4">
        <v>20</v>
      </c>
      <c r="F33" s="4">
        <v>1200</v>
      </c>
      <c r="G33" s="4">
        <f t="shared" si="0"/>
        <v>24000</v>
      </c>
      <c r="H33" s="16">
        <f t="shared" si="1"/>
        <v>0.02</v>
      </c>
      <c r="I33" s="17">
        <f t="shared" si="2"/>
        <v>23520</v>
      </c>
    </row>
    <row r="34" spans="1:9" x14ac:dyDescent="0.25">
      <c r="A34" s="8">
        <v>33</v>
      </c>
      <c r="B34" s="5" t="s">
        <v>215</v>
      </c>
      <c r="C34" s="5" t="s">
        <v>194</v>
      </c>
      <c r="D34" s="5" t="s">
        <v>201</v>
      </c>
      <c r="E34" s="4">
        <v>35</v>
      </c>
      <c r="F34" s="4">
        <v>1419</v>
      </c>
      <c r="G34" s="4">
        <f t="shared" si="0"/>
        <v>49665</v>
      </c>
      <c r="H34" s="16">
        <f t="shared" si="1"/>
        <v>0.05</v>
      </c>
      <c r="I34" s="17">
        <f t="shared" si="2"/>
        <v>47181.75</v>
      </c>
    </row>
    <row r="35" spans="1:9" x14ac:dyDescent="0.25">
      <c r="A35" s="8">
        <v>34</v>
      </c>
      <c r="B35" s="5" t="s">
        <v>215</v>
      </c>
      <c r="C35" s="5" t="s">
        <v>188</v>
      </c>
      <c r="D35" s="5" t="s">
        <v>198</v>
      </c>
      <c r="E35" s="4">
        <v>22</v>
      </c>
      <c r="F35" s="4">
        <v>1390</v>
      </c>
      <c r="G35" s="4">
        <f t="shared" si="0"/>
        <v>30580</v>
      </c>
      <c r="H35" s="16">
        <f t="shared" si="1"/>
        <v>0.05</v>
      </c>
      <c r="I35" s="17">
        <f t="shared" si="2"/>
        <v>29051</v>
      </c>
    </row>
    <row r="36" spans="1:9" x14ac:dyDescent="0.25">
      <c r="A36" s="8">
        <v>35</v>
      </c>
      <c r="B36" s="5" t="s">
        <v>174</v>
      </c>
      <c r="C36" s="5" t="s">
        <v>188</v>
      </c>
      <c r="D36" s="5" t="s">
        <v>189</v>
      </c>
      <c r="E36" s="4">
        <v>88</v>
      </c>
      <c r="F36" s="4">
        <v>1734</v>
      </c>
      <c r="G36" s="4">
        <f t="shared" si="0"/>
        <v>152592</v>
      </c>
      <c r="H36" s="16">
        <f t="shared" si="1"/>
        <v>0.2</v>
      </c>
      <c r="I36" s="17">
        <f t="shared" si="2"/>
        <v>122073.60000000001</v>
      </c>
    </row>
    <row r="37" spans="1:9" x14ac:dyDescent="0.25">
      <c r="A37" s="8">
        <v>36</v>
      </c>
      <c r="B37" s="5" t="s">
        <v>216</v>
      </c>
      <c r="C37" s="5" t="s">
        <v>203</v>
      </c>
      <c r="D37" s="5" t="s">
        <v>198</v>
      </c>
      <c r="E37" s="4">
        <v>43</v>
      </c>
      <c r="F37" s="4">
        <v>1932</v>
      </c>
      <c r="G37" s="4">
        <f t="shared" si="0"/>
        <v>83076</v>
      </c>
      <c r="H37" s="16">
        <f t="shared" si="1"/>
        <v>0.15</v>
      </c>
      <c r="I37" s="17">
        <f t="shared" si="2"/>
        <v>70614.600000000006</v>
      </c>
    </row>
    <row r="38" spans="1:9" x14ac:dyDescent="0.25">
      <c r="A38" s="8">
        <v>37</v>
      </c>
      <c r="B38" s="5" t="s">
        <v>217</v>
      </c>
      <c r="C38" s="5" t="s">
        <v>194</v>
      </c>
      <c r="D38" s="5" t="s">
        <v>201</v>
      </c>
      <c r="E38" s="4">
        <v>29</v>
      </c>
      <c r="F38" s="4">
        <v>123</v>
      </c>
      <c r="G38" s="4">
        <f t="shared" si="0"/>
        <v>3567</v>
      </c>
      <c r="H38" s="16">
        <f t="shared" si="1"/>
        <v>0.02</v>
      </c>
      <c r="I38" s="17">
        <f t="shared" si="2"/>
        <v>3495.66</v>
      </c>
    </row>
    <row r="39" spans="1:9" x14ac:dyDescent="0.25">
      <c r="A39" s="8">
        <v>38</v>
      </c>
      <c r="B39" s="5" t="s">
        <v>141</v>
      </c>
      <c r="C39" s="5" t="s">
        <v>188</v>
      </c>
      <c r="D39" s="5" t="s">
        <v>189</v>
      </c>
      <c r="E39" s="4">
        <v>45</v>
      </c>
      <c r="F39" s="4">
        <v>520</v>
      </c>
      <c r="G39" s="4">
        <f t="shared" si="0"/>
        <v>23400</v>
      </c>
      <c r="H39" s="16">
        <f t="shared" si="1"/>
        <v>0.02</v>
      </c>
      <c r="I39" s="17">
        <f t="shared" si="2"/>
        <v>22932</v>
      </c>
    </row>
    <row r="40" spans="1:9" x14ac:dyDescent="0.25">
      <c r="A40" s="8">
        <v>39</v>
      </c>
      <c r="B40" s="5" t="s">
        <v>157</v>
      </c>
      <c r="C40" s="5" t="s">
        <v>203</v>
      </c>
      <c r="D40" s="5" t="s">
        <v>191</v>
      </c>
      <c r="E40" s="4">
        <v>39</v>
      </c>
      <c r="F40" s="4">
        <v>630</v>
      </c>
      <c r="G40" s="4">
        <f t="shared" si="0"/>
        <v>24570</v>
      </c>
      <c r="H40" s="16">
        <f t="shared" si="1"/>
        <v>0.02</v>
      </c>
      <c r="I40" s="17">
        <f t="shared" si="2"/>
        <v>24078.6</v>
      </c>
    </row>
    <row r="41" spans="1:9" x14ac:dyDescent="0.25">
      <c r="A41" s="8">
        <v>40</v>
      </c>
      <c r="B41" s="5" t="s">
        <v>15</v>
      </c>
      <c r="C41" s="5" t="s">
        <v>194</v>
      </c>
      <c r="D41" s="5" t="s">
        <v>193</v>
      </c>
      <c r="E41" s="4">
        <v>70</v>
      </c>
      <c r="F41" s="4">
        <v>1880</v>
      </c>
      <c r="G41" s="4">
        <f t="shared" si="0"/>
        <v>131600</v>
      </c>
      <c r="H41" s="16">
        <f t="shared" si="1"/>
        <v>0.2</v>
      </c>
      <c r="I41" s="17">
        <f t="shared" si="2"/>
        <v>105280</v>
      </c>
    </row>
    <row r="42" spans="1:9" x14ac:dyDescent="0.25">
      <c r="A42" s="8">
        <v>41</v>
      </c>
      <c r="B42" s="5" t="s">
        <v>111</v>
      </c>
      <c r="C42" s="5" t="s">
        <v>190</v>
      </c>
      <c r="D42" s="5" t="s">
        <v>193</v>
      </c>
      <c r="E42" s="4">
        <v>1</v>
      </c>
      <c r="F42" s="4">
        <v>211</v>
      </c>
      <c r="G42" s="4">
        <f t="shared" si="0"/>
        <v>211</v>
      </c>
      <c r="H42" s="16">
        <f t="shared" si="1"/>
        <v>0.02</v>
      </c>
      <c r="I42" s="17">
        <f t="shared" si="2"/>
        <v>206.78</v>
      </c>
    </row>
    <row r="43" spans="1:9" x14ac:dyDescent="0.25">
      <c r="A43" s="8">
        <v>42</v>
      </c>
      <c r="B43" s="5" t="s">
        <v>95</v>
      </c>
      <c r="C43" s="5" t="s">
        <v>190</v>
      </c>
      <c r="D43" s="5" t="s">
        <v>195</v>
      </c>
      <c r="E43" s="4">
        <v>48</v>
      </c>
      <c r="F43" s="4">
        <v>1810</v>
      </c>
      <c r="G43" s="4">
        <f t="shared" si="0"/>
        <v>86880</v>
      </c>
      <c r="H43" s="16">
        <f t="shared" si="1"/>
        <v>0.15</v>
      </c>
      <c r="I43" s="17">
        <f t="shared" si="2"/>
        <v>73848</v>
      </c>
    </row>
    <row r="44" spans="1:9" x14ac:dyDescent="0.25">
      <c r="A44" s="8">
        <v>43</v>
      </c>
      <c r="B44" s="5" t="s">
        <v>170</v>
      </c>
      <c r="C44" s="5" t="s">
        <v>188</v>
      </c>
      <c r="D44" s="5" t="s">
        <v>201</v>
      </c>
      <c r="E44" s="4">
        <v>65</v>
      </c>
      <c r="F44" s="4">
        <v>340</v>
      </c>
      <c r="G44" s="4">
        <f t="shared" si="0"/>
        <v>22100</v>
      </c>
      <c r="H44" s="16">
        <f t="shared" si="1"/>
        <v>0.02</v>
      </c>
      <c r="I44" s="17">
        <f t="shared" si="2"/>
        <v>21658</v>
      </c>
    </row>
    <row r="45" spans="1:9" x14ac:dyDescent="0.25">
      <c r="A45" s="8">
        <v>44</v>
      </c>
      <c r="B45" s="5" t="s">
        <v>218</v>
      </c>
      <c r="C45" s="5" t="s">
        <v>190</v>
      </c>
      <c r="D45" s="5" t="s">
        <v>198</v>
      </c>
      <c r="E45" s="4">
        <v>23</v>
      </c>
      <c r="F45" s="4">
        <v>208</v>
      </c>
      <c r="G45" s="4">
        <f t="shared" si="0"/>
        <v>4784</v>
      </c>
      <c r="H45" s="16">
        <f t="shared" si="1"/>
        <v>0.02</v>
      </c>
      <c r="I45" s="17">
        <f t="shared" si="2"/>
        <v>4688.32</v>
      </c>
    </row>
    <row r="46" spans="1:9" x14ac:dyDescent="0.25">
      <c r="A46" s="8">
        <v>45</v>
      </c>
      <c r="B46" s="5" t="s">
        <v>219</v>
      </c>
      <c r="C46" s="5" t="s">
        <v>194</v>
      </c>
      <c r="D46" s="5" t="s">
        <v>195</v>
      </c>
      <c r="E46" s="4">
        <v>42</v>
      </c>
      <c r="F46" s="4">
        <v>1430</v>
      </c>
      <c r="G46" s="4">
        <f t="shared" si="0"/>
        <v>60060</v>
      </c>
      <c r="H46" s="16">
        <f t="shared" si="1"/>
        <v>0.1</v>
      </c>
      <c r="I46" s="17">
        <f t="shared" si="2"/>
        <v>54054</v>
      </c>
    </row>
    <row r="47" spans="1:9" x14ac:dyDescent="0.25">
      <c r="A47" s="8">
        <v>46</v>
      </c>
      <c r="B47" s="5" t="s">
        <v>220</v>
      </c>
      <c r="C47" s="5" t="s">
        <v>190</v>
      </c>
      <c r="D47" s="5" t="s">
        <v>191</v>
      </c>
      <c r="E47" s="4">
        <v>62</v>
      </c>
      <c r="F47" s="4">
        <v>1690</v>
      </c>
      <c r="G47" s="4">
        <f t="shared" si="0"/>
        <v>104780</v>
      </c>
      <c r="H47" s="16">
        <f t="shared" si="1"/>
        <v>0.2</v>
      </c>
      <c r="I47" s="17">
        <f t="shared" si="2"/>
        <v>83824</v>
      </c>
    </row>
    <row r="48" spans="1:9" x14ac:dyDescent="0.25">
      <c r="A48" s="8">
        <v>47</v>
      </c>
      <c r="B48" s="5" t="s">
        <v>221</v>
      </c>
      <c r="C48" s="5" t="s">
        <v>194</v>
      </c>
      <c r="D48" s="5" t="s">
        <v>189</v>
      </c>
      <c r="E48" s="4">
        <v>51</v>
      </c>
      <c r="F48" s="4">
        <v>1326</v>
      </c>
      <c r="G48" s="4">
        <f t="shared" si="0"/>
        <v>67626</v>
      </c>
      <c r="H48" s="16">
        <f t="shared" si="1"/>
        <v>0.1</v>
      </c>
      <c r="I48" s="17">
        <f t="shared" si="2"/>
        <v>60863.4</v>
      </c>
    </row>
    <row r="49" spans="1:9" x14ac:dyDescent="0.25">
      <c r="A49" s="8">
        <v>48</v>
      </c>
      <c r="B49" s="5" t="s">
        <v>21</v>
      </c>
      <c r="C49" s="5" t="s">
        <v>190</v>
      </c>
      <c r="D49" s="5" t="s">
        <v>191</v>
      </c>
      <c r="E49" s="4">
        <v>41</v>
      </c>
      <c r="F49" s="4">
        <v>1346</v>
      </c>
      <c r="G49" s="4">
        <f t="shared" si="0"/>
        <v>55186</v>
      </c>
      <c r="H49" s="16">
        <f t="shared" si="1"/>
        <v>0.1</v>
      </c>
      <c r="I49" s="17">
        <f t="shared" si="2"/>
        <v>49667.4</v>
      </c>
    </row>
    <row r="50" spans="1:9" x14ac:dyDescent="0.25">
      <c r="A50" s="8">
        <v>49</v>
      </c>
      <c r="B50" s="5" t="s">
        <v>222</v>
      </c>
      <c r="C50" s="5" t="s">
        <v>190</v>
      </c>
      <c r="D50" s="5" t="s">
        <v>193</v>
      </c>
      <c r="E50" s="4">
        <v>39</v>
      </c>
      <c r="F50" s="4">
        <v>1850</v>
      </c>
      <c r="G50" s="4">
        <f t="shared" si="0"/>
        <v>72150</v>
      </c>
      <c r="H50" s="16">
        <f t="shared" si="1"/>
        <v>0.1</v>
      </c>
      <c r="I50" s="17">
        <f t="shared" si="2"/>
        <v>64935</v>
      </c>
    </row>
    <row r="51" spans="1:9" x14ac:dyDescent="0.25">
      <c r="A51" s="8">
        <v>50</v>
      </c>
      <c r="B51" s="5" t="s">
        <v>10</v>
      </c>
      <c r="C51" s="5" t="s">
        <v>188</v>
      </c>
      <c r="D51" s="5" t="s">
        <v>201</v>
      </c>
      <c r="E51" s="4">
        <v>79</v>
      </c>
      <c r="F51" s="4">
        <v>1219</v>
      </c>
      <c r="G51" s="4">
        <f t="shared" si="0"/>
        <v>96301</v>
      </c>
      <c r="H51" s="16">
        <f t="shared" si="1"/>
        <v>0.15</v>
      </c>
      <c r="I51" s="17">
        <f t="shared" si="2"/>
        <v>81855.850000000006</v>
      </c>
    </row>
    <row r="52" spans="1:9" x14ac:dyDescent="0.25">
      <c r="A52" s="8">
        <v>51</v>
      </c>
      <c r="B52" s="5" t="s">
        <v>223</v>
      </c>
      <c r="C52" s="5" t="s">
        <v>194</v>
      </c>
      <c r="D52" s="5" t="s">
        <v>191</v>
      </c>
      <c r="E52" s="4">
        <v>44</v>
      </c>
      <c r="F52" s="4">
        <v>591</v>
      </c>
      <c r="G52" s="4">
        <f t="shared" si="0"/>
        <v>26004</v>
      </c>
      <c r="H52" s="16">
        <f t="shared" si="1"/>
        <v>0.05</v>
      </c>
      <c r="I52" s="17">
        <f t="shared" si="2"/>
        <v>24703.8</v>
      </c>
    </row>
    <row r="53" spans="1:9" x14ac:dyDescent="0.25">
      <c r="A53" s="8">
        <v>52</v>
      </c>
      <c r="B53" s="5" t="s">
        <v>59</v>
      </c>
      <c r="C53" s="5" t="s">
        <v>188</v>
      </c>
      <c r="D53" s="5" t="s">
        <v>193</v>
      </c>
      <c r="E53" s="4">
        <v>39</v>
      </c>
      <c r="F53" s="4">
        <v>1646</v>
      </c>
      <c r="G53" s="4">
        <f t="shared" si="0"/>
        <v>64194</v>
      </c>
      <c r="H53" s="16">
        <f t="shared" si="1"/>
        <v>0.1</v>
      </c>
      <c r="I53" s="17">
        <f t="shared" si="2"/>
        <v>57774.6</v>
      </c>
    </row>
    <row r="54" spans="1:9" x14ac:dyDescent="0.25">
      <c r="A54" s="8">
        <v>53</v>
      </c>
      <c r="B54" s="5" t="s">
        <v>224</v>
      </c>
      <c r="C54" s="5" t="s">
        <v>190</v>
      </c>
      <c r="D54" s="5" t="s">
        <v>201</v>
      </c>
      <c r="E54" s="4">
        <v>47</v>
      </c>
      <c r="F54" s="4">
        <v>299</v>
      </c>
      <c r="G54" s="4">
        <f t="shared" si="0"/>
        <v>14053</v>
      </c>
      <c r="H54" s="16">
        <f t="shared" si="1"/>
        <v>0.02</v>
      </c>
      <c r="I54" s="17">
        <f t="shared" si="2"/>
        <v>13771.94</v>
      </c>
    </row>
    <row r="55" spans="1:9" x14ac:dyDescent="0.25">
      <c r="A55" s="8">
        <v>54</v>
      </c>
      <c r="B55" s="5" t="s">
        <v>43</v>
      </c>
      <c r="C55" s="5" t="s">
        <v>190</v>
      </c>
      <c r="D55" s="5" t="s">
        <v>189</v>
      </c>
      <c r="E55" s="4">
        <v>58</v>
      </c>
      <c r="F55" s="4">
        <v>1685</v>
      </c>
      <c r="G55" s="4">
        <f t="shared" si="0"/>
        <v>97730</v>
      </c>
      <c r="H55" s="16">
        <f t="shared" si="1"/>
        <v>0.15</v>
      </c>
      <c r="I55" s="17">
        <f t="shared" si="2"/>
        <v>83070.5</v>
      </c>
    </row>
    <row r="56" spans="1:9" x14ac:dyDescent="0.25">
      <c r="A56" s="8">
        <v>55</v>
      </c>
      <c r="B56" s="5" t="s">
        <v>62</v>
      </c>
      <c r="C56" s="5" t="s">
        <v>188</v>
      </c>
      <c r="D56" s="5" t="s">
        <v>189</v>
      </c>
      <c r="E56" s="4">
        <v>18</v>
      </c>
      <c r="F56" s="4">
        <v>1401</v>
      </c>
      <c r="G56" s="4">
        <f t="shared" si="0"/>
        <v>25218</v>
      </c>
      <c r="H56" s="16">
        <f t="shared" si="1"/>
        <v>0.05</v>
      </c>
      <c r="I56" s="17">
        <f t="shared" si="2"/>
        <v>23957.1</v>
      </c>
    </row>
    <row r="57" spans="1:9" x14ac:dyDescent="0.25">
      <c r="A57" s="8">
        <v>56</v>
      </c>
      <c r="B57" s="5" t="s">
        <v>225</v>
      </c>
      <c r="C57" s="5" t="s">
        <v>203</v>
      </c>
      <c r="D57" s="5" t="s">
        <v>198</v>
      </c>
      <c r="E57" s="4">
        <v>21</v>
      </c>
      <c r="F57" s="4">
        <v>820</v>
      </c>
      <c r="G57" s="4">
        <f t="shared" si="0"/>
        <v>17220</v>
      </c>
      <c r="H57" s="16">
        <f t="shared" si="1"/>
        <v>0.02</v>
      </c>
      <c r="I57" s="17">
        <f t="shared" si="2"/>
        <v>16875.599999999999</v>
      </c>
    </row>
    <row r="58" spans="1:9" x14ac:dyDescent="0.25">
      <c r="A58" s="8">
        <v>57</v>
      </c>
      <c r="B58" s="5" t="s">
        <v>226</v>
      </c>
      <c r="C58" s="5" t="s">
        <v>190</v>
      </c>
      <c r="D58" s="5" t="s">
        <v>191</v>
      </c>
      <c r="E58" s="4">
        <v>82</v>
      </c>
      <c r="F58" s="4">
        <v>1372</v>
      </c>
      <c r="G58" s="4">
        <f t="shared" si="0"/>
        <v>112504</v>
      </c>
      <c r="H58" s="16">
        <f t="shared" si="1"/>
        <v>0.2</v>
      </c>
      <c r="I58" s="17">
        <f t="shared" si="2"/>
        <v>90003.199999999997</v>
      </c>
    </row>
    <row r="59" spans="1:9" x14ac:dyDescent="0.25">
      <c r="A59" s="8">
        <v>58</v>
      </c>
      <c r="B59" s="5" t="s">
        <v>227</v>
      </c>
      <c r="C59" s="5" t="s">
        <v>188</v>
      </c>
      <c r="D59" s="5" t="s">
        <v>189</v>
      </c>
      <c r="E59" s="4">
        <v>72</v>
      </c>
      <c r="F59" s="4">
        <v>1852</v>
      </c>
      <c r="G59" s="4">
        <f t="shared" si="0"/>
        <v>133344</v>
      </c>
      <c r="H59" s="16">
        <f t="shared" si="1"/>
        <v>0.2</v>
      </c>
      <c r="I59" s="17">
        <f t="shared" si="2"/>
        <v>106675.2</v>
      </c>
    </row>
    <row r="60" spans="1:9" x14ac:dyDescent="0.25">
      <c r="A60" s="8">
        <v>59</v>
      </c>
      <c r="B60" s="5" t="s">
        <v>228</v>
      </c>
      <c r="C60" s="5" t="s">
        <v>188</v>
      </c>
      <c r="D60" s="5" t="s">
        <v>189</v>
      </c>
      <c r="E60" s="4">
        <v>91</v>
      </c>
      <c r="F60" s="4">
        <v>698</v>
      </c>
      <c r="G60" s="4">
        <f t="shared" si="0"/>
        <v>63518</v>
      </c>
      <c r="H60" s="16">
        <f t="shared" si="1"/>
        <v>0.1</v>
      </c>
      <c r="I60" s="17">
        <f t="shared" si="2"/>
        <v>57166.2</v>
      </c>
    </row>
    <row r="61" spans="1:9" x14ac:dyDescent="0.25">
      <c r="A61" s="10">
        <v>60</v>
      </c>
      <c r="B61" s="11" t="s">
        <v>216</v>
      </c>
      <c r="C61" s="11" t="s">
        <v>194</v>
      </c>
      <c r="D61" s="11" t="s">
        <v>195</v>
      </c>
      <c r="E61" s="12">
        <v>43</v>
      </c>
      <c r="F61" s="12">
        <v>1574</v>
      </c>
      <c r="G61" s="12">
        <f t="shared" si="0"/>
        <v>67682</v>
      </c>
      <c r="H61" s="18">
        <f t="shared" si="1"/>
        <v>0.1</v>
      </c>
      <c r="I61" s="19">
        <f t="shared" si="2"/>
        <v>60913.8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Stock</vt:lpstr>
      <vt:lpstr>Employees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2026-01-12T02:19:07Z</dcterms:created>
  <dcterms:modified xsi:type="dcterms:W3CDTF">2026-01-14T05:04:27Z</dcterms:modified>
</cp:coreProperties>
</file>